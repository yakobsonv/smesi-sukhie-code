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Товары" sheetId="2" state="visible" r:id="rId2"/>
    <sheet xmlns:r="http://schemas.openxmlformats.org/officeDocument/2006/relationships" name="Карточки" sheetId="3" state="visible" r:id="rId3"/>
    <sheet xmlns:r="http://schemas.openxmlformats.org/officeDocument/2006/relationships" name="Как собрано" sheetId="4" state="visible" r:id="rId4"/>
  </sheets>
  <definedNames>
    <definedName name="_xlnm._FilterDatabase" localSheetId="1" hidden="1">'Товары'!$A$1:$O$272</definedName>
    <definedName name="_xlnm._FilterDatabase" localSheetId="2" hidden="1">'Карточки'!$A$1:$L$490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A3F35"/>
      </patternFill>
    </fill>
  </fills>
  <borders count="2">
    <border>
      <left/>
      <right/>
      <top/>
      <bottom/>
      <diagonal/>
    </border>
    <border>
      <bottom style="thin">
        <color rgb="00D9D4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auer.ru/catalog/montazhnye-i-kladochnye/dauer-brick-color-250/" TargetMode="External" Id="rId1"/><Relationship Type="http://schemas.openxmlformats.org/officeDocument/2006/relationships/hyperlink" Target="https://dauer.ru/catalog/montazhnye-i-kladochnye/dauer-brick-color-251/" TargetMode="External" Id="rId2"/><Relationship Type="http://schemas.openxmlformats.org/officeDocument/2006/relationships/hyperlink" Target="https://dauer.ru/catalog/montazhnye-i-kladochnye/dauer-brick-color-252/" TargetMode="External" Id="rId3"/><Relationship Type="http://schemas.openxmlformats.org/officeDocument/2006/relationships/hyperlink" Target="https://td-perel.ru/catalog/perel-nl/belaya-kladochnaya-smes-perel-nl-25-kg/" TargetMode="External" Id="rId4"/><Relationship Type="http://schemas.openxmlformats.org/officeDocument/2006/relationships/hyperlink" Target="https://td-perel.ru/catalog/perel-sl/belaya-kladochnaya-smes-perel-sl-25-kg/" TargetMode="External" Id="rId5"/><Relationship Type="http://schemas.openxmlformats.org/officeDocument/2006/relationships/hyperlink" Target="https://td-perel.ru/catalog/perel-vl/belaya-kladochnaya-smes-perel-vl-25-kg/" TargetMode="External" Id="rId6"/><Relationship Type="http://schemas.openxmlformats.org/officeDocument/2006/relationships/hyperlink" Target="https://osnovit.ru/catalog/kladochnye-rastvory/kladochnyy-rastvor-osnovit-brikform-ms11-f-zimniy-belyy-010/" TargetMode="External" Id="rId7"/><Relationship Type="http://schemas.openxmlformats.org/officeDocument/2006/relationships/hyperlink" Target="https://osnovit.ru/catalog/kladochnye-rastvory/kladochnyy-rastvor-osnovit-brikform-ms11-1-f/" TargetMode="External" Id="rId8"/><Relationship Type="http://schemas.openxmlformats.org/officeDocument/2006/relationships/hyperlink" Target="https://dauer.ru/catalog/montazhnye-i-kladochnye/dauer-brick-color-253/" TargetMode="External" Id="rId9"/><Relationship Type="http://schemas.openxmlformats.org/officeDocument/2006/relationships/hyperlink" Target="https://osnovit.ru/catalog/kladochnye-rastvory-osnovit/rokform-ms110-N/" TargetMode="External" Id="rId10"/><Relationship Type="http://schemas.openxmlformats.org/officeDocument/2006/relationships/hyperlink" Target="https://dauer.ru/catalog/montazhnye-i-kladochnye/tefix-lm-kladochnyy-rastvor/" TargetMode="External" Id="rId11"/><Relationship Type="http://schemas.openxmlformats.org/officeDocument/2006/relationships/hyperlink" Target="https://dauer.ru/catalog/montazhnye-i-kladochnye/quader-tefix-sm/" TargetMode="External" Id="rId12"/><Relationship Type="http://schemas.openxmlformats.org/officeDocument/2006/relationships/hyperlink" Target="https://dauer.ru/catalog/montazhnye-i-kladochnye/tefix-sw/" TargetMode="External" Id="rId13"/><Relationship Type="http://schemas.openxmlformats.org/officeDocument/2006/relationships/hyperlink" Target="https://td-perel.ru/catalog/teplaya-kladochnaya-smes/teplaya-kladochnaya-smes-2020/" TargetMode="External" Id="rId14"/><Relationship Type="http://schemas.openxmlformats.org/officeDocument/2006/relationships/hyperlink" Target="https://td-perel.ru/catalog/teplaya-kladochnaya-smes/teplaya-kladochnaya-smes-20208216/" TargetMode="External" Id="rId15"/><Relationship Type="http://schemas.openxmlformats.org/officeDocument/2006/relationships/hyperlink" Target="https://td-perel.ru/catalog/teplaya-kladochnaya-smes/perel-tks-8020/" TargetMode="External" Id="rId16"/><Relationship Type="http://schemas.openxmlformats.org/officeDocument/2006/relationships/hyperlink" Target="https://osnovit.ru/catalog/kladochnye-rastvory/putform-mc114-f-zimniy-teploizolyatsionnyy-kladochnyy-rastvor/" TargetMode="External" Id="rId17"/><Relationship Type="http://schemas.openxmlformats.org/officeDocument/2006/relationships/hyperlink" Target="https://osnovit.ru/catalog/kladochnye-rastvory/osnovit-putform-mc114-l-vysokoeffektivnyy-teploizolyatsionnyy-/" TargetMode="External" Id="rId18"/><Relationship Type="http://schemas.openxmlformats.org/officeDocument/2006/relationships/hyperlink" Target="https://osnovit.ru/catalog/rasshivki/brikseyv-xc30/" TargetMode="External" Id="rId19"/><Relationship Type="http://schemas.openxmlformats.org/officeDocument/2006/relationships/hyperlink" Target="https://dauer.ru/catalog/montazhnye-i-kladochnye/block-d600-kley-montazhnyy/" TargetMode="External" Id="rId20"/><Relationship Type="http://schemas.openxmlformats.org/officeDocument/2006/relationships/hyperlink" Target="https://td-perel.ru/catalog/montazhnyy-kley/perel_blokus_25_kg_seryy/" TargetMode="External" Id="rId21"/><Relationship Type="http://schemas.openxmlformats.org/officeDocument/2006/relationships/hyperlink" Target="https://osnovit.ru/catalog/osnovit-pro/kley-dlya-blokov-osnovit-pro/" TargetMode="External" Id="rId22"/><Relationship Type="http://schemas.openxmlformats.org/officeDocument/2006/relationships/hyperlink" Target="https://osnovit.ru/catalog/montazhnye-klei/selform-mc-112-f/" TargetMode="External" Id="rId23"/><Relationship Type="http://schemas.openxmlformats.org/officeDocument/2006/relationships/hyperlink" Target="https://osnovit.ru/catalog/montazhnye-klei/kley-montazhnyy-osnovit-tekhno-mc112-f-zimniy/" TargetMode="External" Id="rId24"/><Relationship Type="http://schemas.openxmlformats.org/officeDocument/2006/relationships/hyperlink" Target="https://td-perel.ru/catalog/montazhnyy-kley/gipsovyy-kley-perel-gipsel/" TargetMode="External" Id="rId25"/><Relationship Type="http://schemas.openxmlformats.org/officeDocument/2006/relationships/hyperlink" Target="https://osnovit.ru/catalog/osnovit-pro/kley-montazhnyy-gipsovyy-osnovit-pro/" TargetMode="External" Id="rId26"/><Relationship Type="http://schemas.openxmlformats.org/officeDocument/2006/relationships/hyperlink" Target="https://dauer.ru/catalog/tsementno-peschanye-smesi/sukhaya_smes_m_150_universalnaya/" TargetMode="External" Id="rId27"/><Relationship Type="http://schemas.openxmlformats.org/officeDocument/2006/relationships/hyperlink" Target="https://dauer.ru/catalog/tsementno-peschanye-smesi/sukhaya_smes_m_150_shtukaturnaya/" TargetMode="External" Id="rId28"/><Relationship Type="http://schemas.openxmlformats.org/officeDocument/2006/relationships/hyperlink" Target="https://dauer.ru/catalog/tsementno-peschanye-smesi/sukhaya_smes_m_200_montazhno_kladochnaya/" TargetMode="External" Id="rId29"/><Relationship Type="http://schemas.openxmlformats.org/officeDocument/2006/relationships/hyperlink" Target="https://dauer.ru/catalog/tsementno-peschanye-smesi/sukhaya_smes_m_300_peskobeton/" TargetMode="External" Id="rId30"/><Relationship Type="http://schemas.openxmlformats.org/officeDocument/2006/relationships/hyperlink" Target="https://dauer.ru/catalog/tsementno-peschanye-smesi/sukhaya-smes-m-400-peskobeton-vysokoprochnyy/" TargetMode="External" Id="rId31"/><Relationship Type="http://schemas.openxmlformats.org/officeDocument/2006/relationships/hyperlink" Target="https://td-perel.ru/catalog/universalnye-smesi/m-150-bazovyy/" TargetMode="External" Id="rId32"/><Relationship Type="http://schemas.openxmlformats.org/officeDocument/2006/relationships/hyperlink" Target="https://td-perel.ru/catalog/universalnye-smesi/m-150-universalnyy/" TargetMode="External" Id="rId33"/><Relationship Type="http://schemas.openxmlformats.org/officeDocument/2006/relationships/hyperlink" Target="https://td-perel.ru/catalog/universalnye-smesi/m-300/" TargetMode="External" Id="rId34"/><Relationship Type="http://schemas.openxmlformats.org/officeDocument/2006/relationships/hyperlink" Target="https://dauer.ru/catalog/shtukaturki/slider-36/" TargetMode="External" Id="rId35"/><Relationship Type="http://schemas.openxmlformats.org/officeDocument/2006/relationships/hyperlink" Target="https://dauer.ru/catalog/shtukaturki/slider-37/" TargetMode="External" Id="rId36"/><Relationship Type="http://schemas.openxmlformats.org/officeDocument/2006/relationships/hyperlink" Target="https://dauer.ru/catalog/shtukaturki/slider-38/" TargetMode="External" Id="rId37"/><Relationship Type="http://schemas.openxmlformats.org/officeDocument/2006/relationships/hyperlink" Target="https://dauer.ru/catalog/shtukaturki/slider-39/" TargetMode="External" Id="rId38"/><Relationship Type="http://schemas.openxmlformats.org/officeDocument/2006/relationships/hyperlink" Target="https://td-perel.ru/catalog/gipsovaya-shtukaturka/gipsovaya-shtukaturka-plastichnaya-perel-plast-belaya-30-kg/" TargetMode="External" Id="rId39"/><Relationship Type="http://schemas.openxmlformats.org/officeDocument/2006/relationships/hyperlink" Target="https://td-perel.ru/catalog/gipsovaya-shtukaturka/gipsovaya-shtukaturka-oblegchennaya-perel-teploplast-belaya-30kg/" TargetMode="External" Id="rId40"/><Relationship Type="http://schemas.openxmlformats.org/officeDocument/2006/relationships/hyperlink" Target="https://osnovit.ru/catalog/osnovit-pro/shtukaturka-gipsovaya-uni-pro/" TargetMode="External" Id="rId41"/><Relationship Type="http://schemas.openxmlformats.org/officeDocument/2006/relationships/hyperlink" Target="https://osnovit.ru/catalog/shtukaturki/shtukaturka-gipsovaya-universalnayabelaya-osnovit-gipsvell-pg-25-w/" TargetMode="External" Id="rId42"/><Relationship Type="http://schemas.openxmlformats.org/officeDocument/2006/relationships/hyperlink" Target="https://osnovit.ru/catalog/shtukaturki/gipsovaya-shtukaturka-osnovit-tekhno-pg26-1-m/" TargetMode="External" Id="rId43"/><Relationship Type="http://schemas.openxmlformats.org/officeDocument/2006/relationships/hyperlink" Target="https://osnovit.ru/catalog/shtukaturki/shtukaturka-universalnaya-vlagostoykaya-tekhno-pk27-m/" TargetMode="External" Id="rId44"/><Relationship Type="http://schemas.openxmlformats.org/officeDocument/2006/relationships/hyperlink" Target="https://osnovit.ru/catalog/seria-techno/shtukaturka-universalnaya-vlagostoykaya-belaya-tekhno-pk271-mw/" TargetMode="External" Id="rId45"/><Relationship Type="http://schemas.openxmlformats.org/officeDocument/2006/relationships/hyperlink" Target="https://dauer.ru/catalog/shtukaturki/slider-fasad-301/" TargetMode="External" Id="rId46"/><Relationship Type="http://schemas.openxmlformats.org/officeDocument/2006/relationships/hyperlink" Target="https://dauer.ru/catalog/shtukaturki/slider-fasad-302/" TargetMode="External" Id="rId47"/><Relationship Type="http://schemas.openxmlformats.org/officeDocument/2006/relationships/hyperlink" Target="https://dauer.ru/catalog/shtukaturki/slider-fasad-31-slim-shtukaturka-tsementnaya-melkofraktsionnaya-gladkaya-kp-iii-gost-33083-2014/" TargetMode="External" Id="rId48"/><Relationship Type="http://schemas.openxmlformats.org/officeDocument/2006/relationships/hyperlink" Target="https://dauer.ru/catalog/shtukaturki/slider-fasad-31-fibro-shtukaturka-tsementnaya-vyravnivayushchaya-armirovannaya-kp-iii-gost-33083-201/" TargetMode="External" Id="rId49"/><Relationship Type="http://schemas.openxmlformats.org/officeDocument/2006/relationships/hyperlink" Target="https://dauer.ru/catalog/shtukaturki/slider-312/" TargetMode="External" Id="rId50"/><Relationship Type="http://schemas.openxmlformats.org/officeDocument/2006/relationships/hyperlink" Target="https://dauer.ru/catalog/shtukaturki/dauer-slider-321/" TargetMode="External" Id="rId51"/><Relationship Type="http://schemas.openxmlformats.org/officeDocument/2006/relationships/hyperlink" Target="https://dauer.ru/catalog/shtukaturki/slider-fasad-adhesive/" TargetMode="External" Id="rId52"/><Relationship Type="http://schemas.openxmlformats.org/officeDocument/2006/relationships/hyperlink" Target="https://dauer.ru/catalog/shtukaturki/slider-light/" TargetMode="External" Id="rId53"/><Relationship Type="http://schemas.openxmlformats.org/officeDocument/2006/relationships/hyperlink" Target="https://td-perel.ru/catalog/tsementnaya-shtukaturka/tsementno-izvestkovaya-shtukaturka-perel-robust-25-kg/" TargetMode="External" Id="rId54"/><Relationship Type="http://schemas.openxmlformats.org/officeDocument/2006/relationships/hyperlink" Target="https://td-perel.ru/catalog/tsementnaya-shtukaturka/tsementno-izvestkovaya-shtukaturka-perel-robust-m-25-kg/" TargetMode="External" Id="rId55"/><Relationship Type="http://schemas.openxmlformats.org/officeDocument/2006/relationships/hyperlink" Target="https://td-perel.ru/catalog/tsementnaya-shtukaturka/tsementno-izvestkovaya-shtukaturka-perel-teplorob-20-kg/" TargetMode="External" Id="rId56"/><Relationship Type="http://schemas.openxmlformats.org/officeDocument/2006/relationships/hyperlink" Target="https://td-perel.ru/catalog/tsementnaya-shtukaturka/oblegchennaya-tsementno-izvestkovaya-shtukaturka-perel-teplorob-tr-35-kg/" TargetMode="External" Id="rId57"/><Relationship Type="http://schemas.openxmlformats.org/officeDocument/2006/relationships/hyperlink" Target="https://osnovit.ru/catalog/osnovit-pro/shtukaturka-fasadnaya-pro/" TargetMode="External" Id="rId58"/><Relationship Type="http://schemas.openxmlformats.org/officeDocument/2006/relationships/hyperlink" Target="https://osnovit.ru/catalog/shtukaturki-tsementnye/osnovit-startvell-pc211-m-shtukaturka-tsementnaya/" TargetMode="External" Id="rId59"/><Relationship Type="http://schemas.openxmlformats.org/officeDocument/2006/relationships/hyperlink" Target="https://osnovit.ru/catalog/shtukaturki/osnovit-bigvell-t-22-shtukaturka-fasadnaya-profi/" TargetMode="External" Id="rId60"/><Relationship Type="http://schemas.openxmlformats.org/officeDocument/2006/relationships/hyperlink" Target="https://osnovit.ru/catalog/shtukaturki/tekhno-pc20-m-shtukaturnyy-obryzg-osnovit/" TargetMode="External" Id="rId61"/><Relationship Type="http://schemas.openxmlformats.org/officeDocument/2006/relationships/hyperlink" Target="https://osnovit.ru/catalog/shtukaturki/startvell-pc-21-m-shtukaturka-fasadnaya-osnovit-/" TargetMode="External" Id="rId62"/><Relationship Type="http://schemas.openxmlformats.org/officeDocument/2006/relationships/hyperlink" Target="https://osnovit.ru/catalog/shtukaturki/tekhno-pc23-m/" TargetMode="External" Id="rId63"/><Relationship Type="http://schemas.openxmlformats.org/officeDocument/2006/relationships/hyperlink" Target="https://osnovit.ru/catalog/seria-techno/tsementnaya-shtukaturka-osnovit-tekhno-pc24-1-ml/" TargetMode="External" Id="rId64"/><Relationship Type="http://schemas.openxmlformats.org/officeDocument/2006/relationships/hyperlink" Target="https://dauer.ru/catalog/shpatlevki/finner-43/" TargetMode="External" Id="rId65"/><Relationship Type="http://schemas.openxmlformats.org/officeDocument/2006/relationships/hyperlink" Target="https://td-perel.ru/catalog/gipsovaya_shpaklevka/shpaklevka-gipsovaya-perel-plaster-wall-belaya-25-kg/" TargetMode="External" Id="rId66"/><Relationship Type="http://schemas.openxmlformats.org/officeDocument/2006/relationships/hyperlink" Target="https://osnovit.ru/catalog/shpaklevki/shpaklevka-gipsovaya-vyravnivayushchaya-belaya-versilk-pg-34-w/" TargetMode="External" Id="rId67"/><Relationship Type="http://schemas.openxmlformats.org/officeDocument/2006/relationships/hyperlink" Target="https://osnovit.ru/catalog/shpaklevki/shovsilk-pg33-h-shpaklyevka-gipsovaya-vysokoprochnaya-osnovit/" TargetMode="External" Id="rId68"/><Relationship Type="http://schemas.openxmlformats.org/officeDocument/2006/relationships/hyperlink" Target="https://osnovit.ru/catalog/shpaklevki/ekonsilk-pg35-w/" TargetMode="External" Id="rId69"/><Relationship Type="http://schemas.openxmlformats.org/officeDocument/2006/relationships/hyperlink" Target="https://osnovit.ru/catalog/shpaklevki/elisilk-t-36-belaya/" TargetMode="External" Id="rId70"/><Relationship Type="http://schemas.openxmlformats.org/officeDocument/2006/relationships/hyperlink" Target="https://dauer.ru/catalog/shpatlevki/finner-exter-40w-shpatlevka-tsementnaya-armirovannaya-bazovaya-belaya/" TargetMode="External" Id="rId71"/><Relationship Type="http://schemas.openxmlformats.org/officeDocument/2006/relationships/hyperlink" Target="https://dauer.ru/catalog/shpatlevki/finner-exter-41g-shpatlevka-tsementnaya-finishnaya-seraya/" TargetMode="External" Id="rId72"/><Relationship Type="http://schemas.openxmlformats.org/officeDocument/2006/relationships/hyperlink" Target="https://td-perel.ru/catalog/tsementnaya_shpaklevka/shpatlevka-tsementnaya-perel-facade-b-belaya-20-kg/" TargetMode="External" Id="rId73"/><Relationship Type="http://schemas.openxmlformats.org/officeDocument/2006/relationships/hyperlink" Target="https://td-perel.ru/catalog/tsementnaya_shpaklevka/shpatlevka-tsementnaya-facade-c-seraya-25-kg/" TargetMode="External" Id="rId74"/><Relationship Type="http://schemas.openxmlformats.org/officeDocument/2006/relationships/hyperlink" Target="https://osnovit.ru/catalog/shpaklevki/bazsilk-t-30/" TargetMode="External" Id="rId75"/><Relationship Type="http://schemas.openxmlformats.org/officeDocument/2006/relationships/hyperlink" Target="https://osnovit.ru/catalog/shpaklevki/belsilk-t-32/" TargetMode="External" Id="rId76"/><Relationship Type="http://schemas.openxmlformats.org/officeDocument/2006/relationships/hyperlink" Target="https://osnovit.ru/catalog/shpaklevki/greysilk-t-31/" TargetMode="External" Id="rId77"/><Relationship Type="http://schemas.openxmlformats.org/officeDocument/2006/relationships/hyperlink" Target="https://td-perel.ru/catalog/polimernaya_shpaklevka/shpatlevka-polimernaya-finishnaya-perel-finish-superbelaya-20-kg/" TargetMode="External" Id="rId78"/><Relationship Type="http://schemas.openxmlformats.org/officeDocument/2006/relationships/hyperlink" Target="https://osnovit.ru/catalog/shpaklevki/ekonsilk-PP-38-W/" TargetMode="External" Id="rId79"/><Relationship Type="http://schemas.openxmlformats.org/officeDocument/2006/relationships/hyperlink" Target="https://osnovit.ru/catalog/shpaklevki/elisilk-PP37/" TargetMode="External" Id="rId80"/><Relationship Type="http://schemas.openxmlformats.org/officeDocument/2006/relationships/hyperlink" Target="https://dauer.ru/catalog/plitochnye-klei/conector-02/" TargetMode="External" Id="rId81"/><Relationship Type="http://schemas.openxmlformats.org/officeDocument/2006/relationships/hyperlink" Target="https://dauer.ru/catalog/plitochnye-klei/conector-14/" TargetMode="External" Id="rId82"/><Relationship Type="http://schemas.openxmlformats.org/officeDocument/2006/relationships/hyperlink" Target="https://dauer.ru/catalog/plitochnye-klei/conector-force-22-kley-vysokoeffektivnyy-s2-t-gost-r-56387/" TargetMode="External" Id="rId83"/><Relationship Type="http://schemas.openxmlformats.org/officeDocument/2006/relationships/hyperlink" Target="https://dauer.ru/catalog/plitochnye-klei/conector-22-max/" TargetMode="External" Id="rId84"/><Relationship Type="http://schemas.openxmlformats.org/officeDocument/2006/relationships/hyperlink" Target="https://dauer.ru/catalog/plitochnye-klei/conector-home-plus-kley-universalnyy-c1-gost-r-56387-2018/" TargetMode="External" Id="rId85"/><Relationship Type="http://schemas.openxmlformats.org/officeDocument/2006/relationships/hyperlink" Target="https://td-perel.ru/catalog/klei-dlya-plitki-i-kamnya/kleevaya-smes-perel-basis-c0-25-kg/" TargetMode="External" Id="rId86"/><Relationship Type="http://schemas.openxmlformats.org/officeDocument/2006/relationships/hyperlink" Target="https://td-perel.ru/catalog/klei-dlya-plitki-i-kamnya/kleevaya-smes-perel-keramogranit-c1t-25-kg/" TargetMode="External" Id="rId87"/><Relationship Type="http://schemas.openxmlformats.org/officeDocument/2006/relationships/hyperlink" Target="https://td-perel.ru/catalog/klei-dlya-plitki-i-kamnya/kleevaya-smes-perel-premium-c1te-25-kg/" TargetMode="External" Id="rId88"/><Relationship Type="http://schemas.openxmlformats.org/officeDocument/2006/relationships/hyperlink" Target="https://td-perel.ru/catalog/klei-dlya-plitki-i-kamnya/perel-supremium/" TargetMode="External" Id="rId89"/><Relationship Type="http://schemas.openxmlformats.org/officeDocument/2006/relationships/hyperlink" Target="https://td-perel.ru/catalog/klei-dlya-plitki-i-kamnya/kleevaya-smes-perel-white-c1te-25-kg/" TargetMode="External" Id="rId90"/><Relationship Type="http://schemas.openxmlformats.org/officeDocument/2006/relationships/hyperlink" Target="https://osnovit.ru/catalog/osnovit-pro/plitochnyy-kley-standart-pro/" TargetMode="External" Id="rId91"/><Relationship Type="http://schemas.openxmlformats.org/officeDocument/2006/relationships/hyperlink" Target="https://osnovit.ru/catalog/plitochnye-klei/plitochnyy-kley-usilennyy-pro/" TargetMode="External" Id="rId92"/><Relationship Type="http://schemas.openxmlformats.org/officeDocument/2006/relationships/hyperlink" Target="https://osnovit.ru/catalog/plitochnye-klei/bazpliks-as10-kley-standart-dlya-keramicheskoy-plitki-osnovit/" TargetMode="External" Id="rId93"/><Relationship Type="http://schemas.openxmlformats.org/officeDocument/2006/relationships/hyperlink" Target="https://osnovit.ru/catalog/plitochnye-klei/belpliks-ac141-w-s1t-h-kley-plitochnyy-belyy-dlya-keramicheskoy-mozaiki-keramicheskoy-keramogranit/" TargetMode="External" Id="rId94"/><Relationship Type="http://schemas.openxmlformats.org/officeDocument/2006/relationships/hyperlink" Target="https://osnovit.ru/catalog/plitochnye-klei/osnovit-granipliks-as14-f-zimniy-kley-granit-dlya-naturalnogo-kamnya-keramogranita-klinkernoy-i-kera/" TargetMode="External" Id="rId95"/><Relationship Type="http://schemas.openxmlformats.org/officeDocument/2006/relationships/hyperlink" Target="https://osnovit.ru/catalog/plitochnye-klei/skorpliks-t-15/" TargetMode="External" Id="rId96"/><Relationship Type="http://schemas.openxmlformats.org/officeDocument/2006/relationships/hyperlink" Target="https://osnovit.ru/catalog/plitochnye-klei/maksipliks-ac151-s2t-kley-plitochnyy-oblitsovki-sten-pola-iskusstvennym-naturalnym-kamnem-keramogranitom/" TargetMode="External" Id="rId97"/><Relationship Type="http://schemas.openxmlformats.org/officeDocument/2006/relationships/hyperlink" Target="https://osnovit.ru/catalog/plitochnye-klei/maksipliks-t-16/" TargetMode="External" Id="rId98"/><Relationship Type="http://schemas.openxmlformats.org/officeDocument/2006/relationships/hyperlink" Target="https://osnovit.ru/catalog/plitochnye-klei/maksipliks-as16-e/" TargetMode="External" Id="rId99"/><Relationship Type="http://schemas.openxmlformats.org/officeDocument/2006/relationships/hyperlink" Target="https://osnovit.ru/catalog/plitochnye-klei/maksipliks-as16-le-s2-sverkhelastichnyy-lyegkiy-kley-osnovit/" TargetMode="External" Id="rId100"/><Relationship Type="http://schemas.openxmlformats.org/officeDocument/2006/relationships/hyperlink" Target="https://osnovit.ru/catalog/plitochnye-klei/belpliks-t-17/" TargetMode="External" Id="rId101"/><Relationship Type="http://schemas.openxmlformats.org/officeDocument/2006/relationships/hyperlink" Target="https://osnovit.ru/catalog/plitochnye-klei/maksipliks-ac17-we-s1-sverkhelastichnyy-lyegkiy-kley-osnovit/" TargetMode="External" Id="rId102"/><Relationship Type="http://schemas.openxmlformats.org/officeDocument/2006/relationships/hyperlink" Target="https://osnovit.ru/catalog/plitochnye-klei/maksipliks-ac17-lew-s2-sverkhelastichnyy-lyegkiy-kley-osnovit/" TargetMode="External" Id="rId103"/><Relationship Type="http://schemas.openxmlformats.org/officeDocument/2006/relationships/hyperlink" Target="https://osnovit.ru/catalog/plitochnye-klei/mastpliks-as12-h-plitochnyy-kley-usilennyy-osnovit/" TargetMode="External" Id="rId104"/><Relationship Type="http://schemas.openxmlformats.org/officeDocument/2006/relationships/hyperlink" Target="https://osnovit.ru/catalog/plitochnye-klei/mastpliks-ac12-t/" TargetMode="External" Id="rId105"/><Relationship Type="http://schemas.openxmlformats.org/officeDocument/2006/relationships/hyperlink" Target="https://osnovit.ru/catalog/plitochnye-klei/mastpliks-ac13-s1t-kley-plitochnyy-bespylevoy-keramogranita/" TargetMode="External" Id="rId106"/><Relationship Type="http://schemas.openxmlformats.org/officeDocument/2006/relationships/hyperlink" Target="https://osnovit.ru/catalog/plitochnye-klei/starpliks-ac11/" TargetMode="External" Id="rId107"/><Relationship Type="http://schemas.openxmlformats.org/officeDocument/2006/relationships/hyperlink" Target="https://osnovit.ru/catalog/plitochnye-klei/starpliks-ac112-f/" TargetMode="External" Id="rId108"/><Relationship Type="http://schemas.openxmlformats.org/officeDocument/2006/relationships/hyperlink" Target="https://td-perel.ru/catalog/perel-nfs-pro/perel-nfs-pro-0505/" TargetMode="External" Id="rId109"/><Relationship Type="http://schemas.openxmlformats.org/officeDocument/2006/relationships/hyperlink" Target="https://td-perel.ru/catalog/tsvetnaya-zatirochnaya-smes-perel-rl/belaya-zatirochnaya-smes-perel-rl-25-kg/" TargetMode="External" Id="rId110"/><Relationship Type="http://schemas.openxmlformats.org/officeDocument/2006/relationships/hyperlink" Target="https://osnovit.ru/catalog/zatirka-shvov/osnovit-plitseyv-xc35-h-20-kg/" TargetMode="External" Id="rId111"/><Relationship Type="http://schemas.openxmlformats.org/officeDocument/2006/relationships/hyperlink" Target="https://osnovit.ru/catalog/zatirki-i-rasshivki/tsementnaya-zatirka-osnovit-plitseyv-xc5/" TargetMode="External" Id="rId112"/><Relationship Type="http://schemas.openxmlformats.org/officeDocument/2006/relationships/hyperlink" Target="https://osnovit.ru/catalog/zatirka-shvov/plitseyv-khs6-e/" TargetMode="External" Id="rId113"/><Relationship Type="http://schemas.openxmlformats.org/officeDocument/2006/relationships/hyperlink" Target="https://dauer.ru/catalog/materialy-dlya-ustroystva-polov/dauer-platter-50/" TargetMode="External" Id="rId114"/><Relationship Type="http://schemas.openxmlformats.org/officeDocument/2006/relationships/hyperlink" Target="https://td-perel.ru/catalog/nalivnye-poly/perel-express-0720/" TargetMode="External" Id="rId115"/><Relationship Type="http://schemas.openxmlformats.org/officeDocument/2006/relationships/hyperlink" Target="https://osnovit.ru/catalog/osnovit-pro/styazhka-armirovannaya-osnovit-pro/" TargetMode="External" Id="rId116"/><Relationship Type="http://schemas.openxmlformats.org/officeDocument/2006/relationships/hyperlink" Target="https://osnovit.ru/catalog/styazhki/startolayn-FC-40/" TargetMode="External" Id="rId117"/><Relationship Type="http://schemas.openxmlformats.org/officeDocument/2006/relationships/hyperlink" Target="https://osnovit.ru/catalog/styazhki/startolayn-FC-41-H/" TargetMode="External" Id="rId118"/><Relationship Type="http://schemas.openxmlformats.org/officeDocument/2006/relationships/hyperlink" Target="https://osnovit.ru/catalog/styazhki/startolayn-fc43-l-styazhka-lyegkaya-osnovit-/" TargetMode="External" Id="rId119"/><Relationship Type="http://schemas.openxmlformats.org/officeDocument/2006/relationships/hyperlink" Target="https://dauer.ru/catalog/materialy-dlya-ustroystva-polov/platter-self-55-eco-nalivnoy-pol-universalnyy-bystrotverdeyushchiy-rk5-vtb4-v12-5-gost-31358-2019/" TargetMode="External" Id="rId120"/><Relationship Type="http://schemas.openxmlformats.org/officeDocument/2006/relationships/hyperlink" Target="https://dauer.ru/catalog/materialy-dlya-ustroystva-polov/platter-self-57-nalivnoy-pol-tonkosloynyy-bystrotverdeyushchiy-klass-v15-gost-31358/" TargetMode="External" Id="rId121"/><Relationship Type="http://schemas.openxmlformats.org/officeDocument/2006/relationships/hyperlink" Target="https://dauer.ru/catalog/materialy-dlya-ustroystva-polov/platter-self-59-nalivnoy-pol-vysokoprochnyy-rk6-vtb4-v20-f50-gost-31358/" TargetMode="External" Id="rId122"/><Relationship Type="http://schemas.openxmlformats.org/officeDocument/2006/relationships/hyperlink" Target="https://td-perel.ru/catalog/nalivnye-poly/perel-faster-0732/" TargetMode="External" Id="rId123"/><Relationship Type="http://schemas.openxmlformats.org/officeDocument/2006/relationships/hyperlink" Target="https://osnovit.ru/catalog/osnovit-pro/pol-nalivnoy-bystro-pro/" TargetMode="External" Id="rId124"/><Relationship Type="http://schemas.openxmlformats.org/officeDocument/2006/relationships/hyperlink" Target="https://osnovit.ru/catalog/nalivnye-poly/niplayn-fc42-h-nalivnoy-pol-vysokoprochnyy-osnovit-/" TargetMode="External" Id="rId125"/><Relationship Type="http://schemas.openxmlformats.org/officeDocument/2006/relationships/hyperlink" Target="https://osnovit.ru/catalog/rovniteli/niplayn-fc47/" TargetMode="External" Id="rId126"/><Relationship Type="http://schemas.openxmlformats.org/officeDocument/2006/relationships/hyperlink" Target="https://osnovit.ru/catalog/rovniteli/niplayn-fk47-rovnitel-universalnyy-osnovit/" TargetMode="External" Id="rId127"/><Relationship Type="http://schemas.openxmlformats.org/officeDocument/2006/relationships/hyperlink" Target="https://osnovit.ru/catalog/nalivnye-poly/rovilayn-fc49-nalivnoy-pol-superfinishnyy-osnovit/" TargetMode="External" Id="rId128"/><Relationship Type="http://schemas.openxmlformats.org/officeDocument/2006/relationships/hyperlink" Target="https://osnovit.ru/catalog/nalivnye-poly/rovilayn-fk46-nalivnoy-pol-tonkosloynyy-osnovit-/" TargetMode="External" Id="rId129"/><Relationship Type="http://schemas.openxmlformats.org/officeDocument/2006/relationships/hyperlink" Target="https://osnovit.ru/catalog/nalivnye-poly/skorlayn-fk45r/" TargetMode="External" Id="rId130"/><Relationship Type="http://schemas.openxmlformats.org/officeDocument/2006/relationships/hyperlink" Target="https://osnovit.ru/catalog/nalivnye-poly/skorlayn-fk48-r/" TargetMode="External" Id="rId131"/><Relationship Type="http://schemas.openxmlformats.org/officeDocument/2006/relationships/hyperlink" Target="https://td-perel.ru/catalog/gidroizolyatsiya/perel-aquastop-0810/" TargetMode="External" Id="rId132"/><Relationship Type="http://schemas.openxmlformats.org/officeDocument/2006/relationships/hyperlink" Target="https://osnovit.ru/catalog/gidroizolyatsiya/akvaskrin-t-61/" TargetMode="External" Id="rId133"/><Relationship Type="http://schemas.openxmlformats.org/officeDocument/2006/relationships/hyperlink" Target="https://osnovit.ru/catalog/gidroizolyatsiya/akvaskrin-hc62-e1k-gidroizolyatsiya-elastichnaya-odnokomponentnaya-osnovit-/" TargetMode="External" Id="rId134"/><Relationship Type="http://schemas.openxmlformats.org/officeDocument/2006/relationships/hyperlink" Target="https://osnovit.ru/catalog/gidroizolyatsiya/akvaskrin-ns63-zhestkaya-gidroizolyatsiya-osnovit-/" TargetMode="External" Id="rId135"/><Relationship Type="http://schemas.openxmlformats.org/officeDocument/2006/relationships/hyperlink" Target="https://osnovit.ru/catalog/gidroizolyatsiya/akvaskrin-hc65-vodoostonavlivayushchaya-gidroizolyatsiya-pronikayushchaya-osnovit/" TargetMode="External" Id="rId136"/><Relationship Type="http://schemas.openxmlformats.org/officeDocument/2006/relationships/hyperlink" Target="https://osnovit.ru/catalog/gidroizolyatsiya/akvaskrin-hc66-shovnyy-gidroizolyatsionnyy-sostav-s-pronikayushchim-effektom-osnovit/" TargetMode="External" Id="rId137"/><Relationship Type="http://schemas.openxmlformats.org/officeDocument/2006/relationships/hyperlink" Target="https://td-perel.ru/catalog/montazhnyy-kley/kleevaya-smes-perel-termix/" TargetMode="External" Id="rId138"/><Relationship Type="http://schemas.openxmlformats.org/officeDocument/2006/relationships/hyperlink" Target="https://td-perel.ru/catalog/montazhnyy-kley/kleevaya-smes-perel-termix-m/" TargetMode="External" Id="rId139"/><Relationship Type="http://schemas.openxmlformats.org/officeDocument/2006/relationships/hyperlink" Target="https://osnovit.ru/catalog/kleevye-sostavy/kleevaya-smes-kaverpliks-as115-/" TargetMode="External" Id="rId140"/><Relationship Type="http://schemas.openxmlformats.org/officeDocument/2006/relationships/hyperlink" Target="https://osnovit.ru/catalog/kleevye-sostavy/kleevaya-smes-osnovit-kaverpliks-ac116/" TargetMode="External" Id="rId141"/><Relationship Type="http://schemas.openxmlformats.org/officeDocument/2006/relationships/hyperlink" Target="https://osnovit.ru/catalog/kleevye-sostavy/kaverpliks-ac117-f-zimnyaya-kleevaya-smes-osnovit/" TargetMode="External" Id="rId142"/><Relationship Type="http://schemas.openxmlformats.org/officeDocument/2006/relationships/hyperlink" Target="https://osnovit.ru/catalog/bazovye-shtukaturnye-sostavy/osnovit-kaverpliks-pc117-w/" TargetMode="External" Id="rId143"/><Relationship Type="http://schemas.openxmlformats.org/officeDocument/2006/relationships/hyperlink" Target="https://osnovit.ru/catalog/kleevye-sostavy/shtukaturno-kleevaya-smes-kaverpliks-ts115f/" TargetMode="External" Id="rId144"/><Relationship Type="http://schemas.openxmlformats.org/officeDocument/2006/relationships/hyperlink" Target="https://osnovit.ru/catalog/smesi-dlya-teploizolyatsii/zimnyaya-shtukaturno-kleevaya-smes-osnovit-kaverpliks-tc116-f/" TargetMode="External" Id="rId145"/><Relationship Type="http://schemas.openxmlformats.org/officeDocument/2006/relationships/hyperlink" Target="https://osnovit.ru/catalog/kleevye-sostavy/shtukaturno-kleevaya-smes-osnovit-kaverpliks-tc117-f/" TargetMode="External" Id="rId146"/><Relationship Type="http://schemas.openxmlformats.org/officeDocument/2006/relationships/hyperlink" Target="https://osnovit.ru/catalog/bazovye-shtukaturnye-sostavy/kaverpliks-ts117-h-shtukaturno-kleevaya-smes-osnovit/" TargetMode="External" Id="rId147"/><Relationship Type="http://schemas.openxmlformats.org/officeDocument/2006/relationships/hyperlink" Target="https://td-perel.ru/catalog/tsementnaya/perel-cemento/" TargetMode="External" Id="rId148"/><Relationship Type="http://schemas.openxmlformats.org/officeDocument/2006/relationships/hyperlink" Target="https://osnovit.ru/catalog/dekorativnye-shtukaturki/shtukaturka-dekorativnaya-osnovit-ekstervell-25-kg-koroed-belaya/" TargetMode="External" Id="rId149"/><Relationship Type="http://schemas.openxmlformats.org/officeDocument/2006/relationships/hyperlink" Target="https://osnovit.ru/catalog/dekorativnye-shtukaturki/ekstervell-modeliruemaya/" TargetMode="External" Id="rId150"/><Relationship Type="http://schemas.openxmlformats.org/officeDocument/2006/relationships/hyperlink" Target="https://osnovit.ru/catalog/dekorativnye-shtukaturki/shtukaturka-dekorativnaya-osnovit-ekstervell-25-kg-shuba-color/" TargetMode="External" Id="rId151"/><Relationship Type="http://schemas.openxmlformats.org/officeDocument/2006/relationships/hyperlink" Target="https://td-perel.ru/catalog/modifitsirovannyy-pesok/perel-modisand/" TargetMode="External" Id="rId152"/><Relationship Type="http://schemas.openxmlformats.org/officeDocument/2006/relationships/hyperlink" Target="https://td-perel.ru/catalog/rodstone-adgeziv/perel-rodstone-adgeziv-25-kg-belyy-kley-dlya-bruschatki/" TargetMode="External" Id="rId153"/><Relationship Type="http://schemas.openxmlformats.org/officeDocument/2006/relationships/hyperlink" Target="https://td-perel.ru/catalog/rodstone-osnova/perel-rodstone-osnova-40-kg-drenazhnyy-rastvor/" TargetMode="External" Id="rId154"/><Relationship Type="http://schemas.openxmlformats.org/officeDocument/2006/relationships/hyperlink" Target="https://td-perel.ru/catalog/vodonepronitsaemaya/perel-rodstone-shov-litoy-bejevyi/" TargetMode="External" Id="rId155"/><Relationship Type="http://schemas.openxmlformats.org/officeDocument/2006/relationships/hyperlink" Target="https://td-perel.ru/catalog/vodopronitsaemaya/perel-rodstone-shov-filtr-belyi/" TargetMode="External" Id="rId156"/><Relationship Type="http://schemas.openxmlformats.org/officeDocument/2006/relationships/hyperlink" Target="https://osnovit.ru/catalog/kleevye-rastvory/osnovit-flayform-ac20-t-25-kg/" TargetMode="External" Id="rId157"/><Relationship Type="http://schemas.openxmlformats.org/officeDocument/2006/relationships/hyperlink" Target="https://osnovit.ru/catalog/kleevye-rastvory/osnovit-flayform-ac6-lq-25-kg/" TargetMode="External" Id="rId158"/><Relationship Type="http://schemas.openxmlformats.org/officeDocument/2006/relationships/hyperlink" Target="https://osnovit.ru/catalog/drenazhnye-rastvory/flayform-dc100-drenazhnyy-rastvor-osnovit-1000kg/" TargetMode="External" Id="rId159"/><Relationship Type="http://schemas.openxmlformats.org/officeDocument/2006/relationships/hyperlink" Target="https://osnovit.ru/catalog/kleevye-rastvory/osnovit-flayform-mc30-25-kg/" TargetMode="External" Id="rId160"/><Relationship Type="http://schemas.openxmlformats.org/officeDocument/2006/relationships/hyperlink" Target="https://osnovit.ru/catalog/drenazhnye-rastvory/flayform-mc-80-wp/" TargetMode="External" Id="rId161"/><Relationship Type="http://schemas.openxmlformats.org/officeDocument/2006/relationships/hyperlink" Target="https://osnovit.ru/catalog/zapolnenie-shvov/osnovit-flayform-xc50-wp-25-kg/" TargetMode="External" Id="rId162"/><Relationship Type="http://schemas.openxmlformats.org/officeDocument/2006/relationships/hyperlink" Target="https://osnovit.ru/catalog/smesi-dlya-pechey-i-kaminov/pechform-ac150/" TargetMode="External" Id="rId163"/><Relationship Type="http://schemas.openxmlformats.org/officeDocument/2006/relationships/hyperlink" Target="https://osnovit.ru/catalog/smesi-dlya-pechey-i-kaminov/pechform-ac400r/" TargetMode="External" Id="rId164"/><Relationship Type="http://schemas.openxmlformats.org/officeDocument/2006/relationships/hyperlink" Target="https://osnovit.ru/catalog/smesi-dlya-pechey-i-kaminov/pechform-mf1300/" TargetMode="External" Id="rId165"/><Relationship Type="http://schemas.openxmlformats.org/officeDocument/2006/relationships/hyperlink" Target="https://osnovit.ru/catalog/smesi-dlya-pechey-i-kaminov/pechform-mf800/" TargetMode="External" Id="rId166"/><Relationship Type="http://schemas.openxmlformats.org/officeDocument/2006/relationships/hyperlink" Target="https://osnovit.ru/catalog/smesi-dlya-pechey-i-kaminov/pechform-msi1300/" TargetMode="External" Id="rId167"/><Relationship Type="http://schemas.openxmlformats.org/officeDocument/2006/relationships/hyperlink" Target="https://osnovit.ru/catalog/smesi-dlya-pechey-i-kaminov/pechform-pc400-w/" TargetMode="External" Id="rId168"/><Relationship Type="http://schemas.openxmlformats.org/officeDocument/2006/relationships/hyperlink" Target="https://osnovit.ru/catalog/remont-i-zashchita-betona/remontnyy-sostav-osnovit-khardskrin-rc20/" TargetMode="External" Id="rId169"/><Relationship Type="http://schemas.openxmlformats.org/officeDocument/2006/relationships/hyperlink" Target="https://osnovit.ru/catalog/remont-i-zashchita-betona/khardskrin-rg10-r-bystrotverdeyushchiy-gips-osnovit/" TargetMode="External" Id="rId170"/><Relationship Type="http://schemas.openxmlformats.org/officeDocument/2006/relationships/hyperlink" Target="https://osnovit.ru/catalog/kraski/univita-ss90/" TargetMode="External" Id="rId171"/><Relationship Type="http://schemas.openxmlformats.org/officeDocument/2006/relationships/hyperlink" Target="https://osnovit.ru/catalog/remont-i-zashchita-betona/khardskrin-rc10-r-bystryy-montazhnyy-i-remontnyy-sostav-osnovit/" TargetMode="External" Id="rId172"/><Relationship Type="http://schemas.openxmlformats.org/officeDocument/2006/relationships/hyperlink" Target="https://osnovit.ru/catalog/epoksidnye-zatirki-i-materialy-dlya-ochistki-/ochistitel-epoksidnykh-ostatkov-osnovit-plitseyv-se1-/" TargetMode="External" Id="rId173"/><Relationship Type="http://schemas.openxmlformats.org/officeDocument/2006/relationships/hyperlink" Target="https://osnovit.ru/catalog/epoksidnye-zatirki-i-materialy-dlya-ochistki-/kontsentrirovannyy-ochistitel-epoksidnykh-ostatkov-osnovit-plitseyv-se1-r-/" TargetMode="External" Id="rId174"/><Relationship Type="http://schemas.openxmlformats.org/officeDocument/2006/relationships/hyperlink" Target="https://osnovit.ru/catalog/epoksidnye-zatirki-i-materialy-dlya-ochistki-/gubka-dlya-ochistki-epoksidnykh-ostatkov-osnovit-plitseyv/" TargetMode="External" Id="rId175"/><Relationship Type="http://schemas.openxmlformats.org/officeDocument/2006/relationships/hyperlink" Target="https://osnovit.ru/catalog/osnovit-home/seyfskrin-sal1/" TargetMode="External" Id="rId176"/><Relationship Type="http://schemas.openxmlformats.org/officeDocument/2006/relationships/hyperlink" Target="https://osnovit.ru/catalog/osnovit-home/seyfskrin-sal2/" TargetMode="External" Id="rId177"/><Relationship Type="http://schemas.openxmlformats.org/officeDocument/2006/relationships/hyperlink" Target="https://osnovit.ru/catalog/spetsialnye-rastvory/seyfskrin-svd1/" TargetMode="External" Id="rId178"/><Relationship Type="http://schemas.openxmlformats.org/officeDocument/2006/relationships/hyperlink" Target="https://osnovit.ru/catalog/osnovit-home/seyfskrin-sbd2/" TargetMode="External" Id="rId179"/><Relationship Type="http://schemas.openxmlformats.org/officeDocument/2006/relationships/hyperlink" Target="https://osnovit.ru/catalog/osnovit-home/seyfskrin-sgl1/" TargetMode="External" Id="rId180"/><Relationship Type="http://schemas.openxmlformats.org/officeDocument/2006/relationships/hyperlink" Target="https://osnovit.ru/catalog/osnovit-home/ochistitel-mezhplitochnykh-shvov-osnovit-seyfskrin-ekstra-sal11/" TargetMode="External" Id="rId181"/><Relationship Type="http://schemas.openxmlformats.org/officeDocument/2006/relationships/hyperlink" Target="https://osnovit.ru/catalog/osnovit-home/ochistitel-plitki-osnovit-seyfskrin-ekstra-sal22/" TargetMode="External" Id="rId182"/><Relationship Type="http://schemas.openxmlformats.org/officeDocument/2006/relationships/hyperlink" Target="https://osnovit.ru/catalog/osnovit-home/seyfskrin-ekstra-sbd11/" TargetMode="External" Id="rId183"/><Relationship Type="http://schemas.openxmlformats.org/officeDocument/2006/relationships/hyperlink" Target="https://osnovit.ru/catalog/osnovit-home/udalitel-pleseni-osnovit-seyfskrin-ekstra-sbd22-/" TargetMode="External" Id="rId184"/><Relationship Type="http://schemas.openxmlformats.org/officeDocument/2006/relationships/hyperlink" Target="https://osnovit.ru/catalog/osnovit-home/udalitel-tsementa-osnovit-seyfskrin-ekstra-sgl11-/" TargetMode="External" Id="rId185"/><Relationship Type="http://schemas.openxmlformats.org/officeDocument/2006/relationships/hyperlink" Target="https://osnovit.ru/catalog/germetiki/germetik-sanitarnyy-silikonovyy-plitseyv/" TargetMode="External" Id="rId186"/><Relationship Type="http://schemas.openxmlformats.org/officeDocument/2006/relationships/hyperlink" Target="https://dauer.ru/catalog/gidroizolyatsiya/dauer-saver-707/" TargetMode="External" Id="rId187"/><Relationship Type="http://schemas.openxmlformats.org/officeDocument/2006/relationships/hyperlink" Target="https://td-perel.ru/catalog/gidroizolyatsiya/perel-isolante/" TargetMode="External" Id="rId188"/><Relationship Type="http://schemas.openxmlformats.org/officeDocument/2006/relationships/hyperlink" Target="https://osnovit.ru/catalog/gidroizolyatsiya/gidroizolyatsiya-gotovaya-elastichnaya-osnovit-khardskrin-hac64-/" TargetMode="External" Id="rId189"/><Relationship Type="http://schemas.openxmlformats.org/officeDocument/2006/relationships/hyperlink" Target="https://td-perel.ru/catalog/gidrofobizator/perel-impregno-10-l/" TargetMode="External" Id="rId190"/><Relationship Type="http://schemas.openxmlformats.org/officeDocument/2006/relationships/hyperlink" Target="https://osnovit.ru/catalog/osnovit-home/seyfskrin-ssl1/" TargetMode="External" Id="rId191"/><Relationship Type="http://schemas.openxmlformats.org/officeDocument/2006/relationships/hyperlink" Target="https://osnovit.ru/catalog/osnovit-home/vodo-gryazeottalkivayushchaya-propitka-osnovit-seyfskrin-estra-ssl155/" TargetMode="External" Id="rId192"/><Relationship Type="http://schemas.openxmlformats.org/officeDocument/2006/relationships/hyperlink" Target="https://dauer.ru/catalog/grunty/immer-made-60-grunt-bazovyy-ukreplyayushchiy-na-akrilovoy-osnove/" TargetMode="External" Id="rId193"/><Relationship Type="http://schemas.openxmlformats.org/officeDocument/2006/relationships/hyperlink" Target="https://dauer.ru/catalog/grunty/immer-made-65-grunt-glubokogo-proniknoveniya/" TargetMode="External" Id="rId194"/><Relationship Type="http://schemas.openxmlformats.org/officeDocument/2006/relationships/hyperlink" Target="https://td-perel.ru/catalog/gruntovka/perel-fixprim/" TargetMode="External" Id="rId195"/><Relationship Type="http://schemas.openxmlformats.org/officeDocument/2006/relationships/hyperlink" Target="https://td-perel.ru/catalog/gruntovka/perel-quarzo/" TargetMode="External" Id="rId196"/><Relationship Type="http://schemas.openxmlformats.org/officeDocument/2006/relationships/hyperlink" Target="https://td-perel.ru/catalog/gruntovka/perel-rof-18-kg/" TargetMode="External" Id="rId197"/><Relationship Type="http://schemas.openxmlformats.org/officeDocument/2006/relationships/hyperlink" Target="https://td-perel.ru/catalog/gruntovka/perel-uniprim/" TargetMode="External" Id="rId198"/><Relationship Type="http://schemas.openxmlformats.org/officeDocument/2006/relationships/hyperlink" Target="https://osnovit.ru/catalog/kraski/grunt-interernyy-osnovit-univita-studio-primer/" TargetMode="External" Id="rId199"/><Relationship Type="http://schemas.openxmlformats.org/officeDocument/2006/relationships/hyperlink" Target="https://osnovit.ru/catalog/gruntovki/bettokont-lp55/" TargetMode="External" Id="rId200"/><Relationship Type="http://schemas.openxmlformats.org/officeDocument/2006/relationships/hyperlink" Target="https://osnovit.ru/catalog/gruntovki/grunt-betonokontakt-osnovit-bettokont-lp551/" TargetMode="External" Id="rId201"/><Relationship Type="http://schemas.openxmlformats.org/officeDocument/2006/relationships/hyperlink" Target="https://osnovit.ru/catalog/gruntovki/dipkont-lp53-5-l/" TargetMode="External" Id="rId202"/><Relationship Type="http://schemas.openxmlformats.org/officeDocument/2006/relationships/hyperlink" Target="https://osnovit.ru/catalog/gruntovki/intekont-t-50/" TargetMode="External" Id="rId203"/><Relationship Type="http://schemas.openxmlformats.org/officeDocument/2006/relationships/hyperlink" Target="https://osnovit.ru/catalog/gruntovki/grunt-kontsentrat-osnovit-profikont-lp52-1-l/" TargetMode="External" Id="rId204"/><Relationship Type="http://schemas.openxmlformats.org/officeDocument/2006/relationships/hyperlink" Target="https://osnovit.ru/catalog/kraski/grunt-ukryvayushchiy-osnovit-tekhkont-lp58/" TargetMode="External" Id="rId205"/><Relationship Type="http://schemas.openxmlformats.org/officeDocument/2006/relationships/hyperlink" Target="https://osnovit.ru/catalog/kraski/grunt-silikatnyy-osnovit-tekhkont-lst57/" TargetMode="External" Id="rId206"/><Relationship Type="http://schemas.openxmlformats.org/officeDocument/2006/relationships/hyperlink" Target="https://osnovit.ru/catalog/gruntovki/grunt-universalnyy-osnovit-unkont-lyuks-lp51-a-1l/" TargetMode="External" Id="rId207"/><Relationship Type="http://schemas.openxmlformats.org/officeDocument/2006/relationships/hyperlink" Target="https://osnovit.ru/catalog/gruntovki/grunt-universalnyy-osnovit-unkont-standart-lp51-1l/" TargetMode="External" Id="rId208"/><Relationship Type="http://schemas.openxmlformats.org/officeDocument/2006/relationships/hyperlink" Target="https://osnovit.ru/catalog/gruntovki/eksterkont-lp54-w/" TargetMode="External" Id="rId209"/><Relationship Type="http://schemas.openxmlformats.org/officeDocument/2006/relationships/hyperlink" Target="https://td-perel.ru/catalog/akrilovaya/perel-acrilico-koroed/" TargetMode="External" Id="rId210"/><Relationship Type="http://schemas.openxmlformats.org/officeDocument/2006/relationships/hyperlink" Target="https://td-perel.ru/catalog/akrilovaya/perel-acrilico-shuba/" TargetMode="External" Id="rId211"/><Relationship Type="http://schemas.openxmlformats.org/officeDocument/2006/relationships/hyperlink" Target="https://td-perel.ru/catalog/silikonovaya/perel-silicio-koroed/" TargetMode="External" Id="rId212"/><Relationship Type="http://schemas.openxmlformats.org/officeDocument/2006/relationships/hyperlink" Target="https://td-perel.ru/catalog/silikonovaya/perel-silicio-shuba/" TargetMode="External" Id="rId213"/><Relationship Type="http://schemas.openxmlformats.org/officeDocument/2006/relationships/hyperlink" Target="https://osnovit.ru/catalog/dekorativnye-shtukaturki/ekstervell-osl-shuba/" TargetMode="External" Id="rId214"/><Relationship Type="http://schemas.openxmlformats.org/officeDocument/2006/relationships/hyperlink" Target="https://osnovit.ru/catalog/dekorativnye-shtukaturki/ekstervell-osl-koroed/" TargetMode="External" Id="rId215"/><Relationship Type="http://schemas.openxmlformats.org/officeDocument/2006/relationships/hyperlink" Target="https://osnovit.ru/catalog/dekorativnye-shtukaturki/ekstervell-osl-shuba-color/" TargetMode="External" Id="rId216"/><Relationship Type="http://schemas.openxmlformats.org/officeDocument/2006/relationships/hyperlink" Target="https://osnovit.ru/catalog/dekorativnye-shtukaturki/ekstervell-oss-koroed/" TargetMode="External" Id="rId217"/><Relationship Type="http://schemas.openxmlformats.org/officeDocument/2006/relationships/hyperlink" Target="https://osnovit.ru/catalog/dekorativnye-shtukaturki/ekstervell-oss-shuba/" TargetMode="External" Id="rId218"/><Relationship Type="http://schemas.openxmlformats.org/officeDocument/2006/relationships/hyperlink" Target="https://osnovit.ru/catalog/dekorativnye-shtukaturki/ekstervell-ost-koroed/" TargetMode="External" Id="rId219"/><Relationship Type="http://schemas.openxmlformats.org/officeDocument/2006/relationships/hyperlink" Target="https://osnovit.ru/catalog/dekorativnye-shtukaturki/ekstervell-ost-shuba/" TargetMode="External" Id="rId220"/><Relationship Type="http://schemas.openxmlformats.org/officeDocument/2006/relationships/hyperlink" Target="https://osnovit.ru/catalog/dekorativnye-shtukaturki/ekstervell-oas-koroed/" TargetMode="External" Id="rId221"/><Relationship Type="http://schemas.openxmlformats.org/officeDocument/2006/relationships/hyperlink" Target="https://osnovit.ru/catalog/dekorativnye-shtukaturki/ekstervell-oas-shuba/" TargetMode="External" Id="rId222"/><Relationship Type="http://schemas.openxmlformats.org/officeDocument/2006/relationships/hyperlink" Target="https://td-perel.ru/catalog/protivomoroznaya-dobavka/perel-no-frost-1-l/" TargetMode="External" Id="rId223"/><Relationship Type="http://schemas.openxmlformats.org/officeDocument/2006/relationships/hyperlink" Target="https://td-perel.ru/catalog/vodonepronitsaemaya/perel-rodstone-shov-litoy-komponent-c/" TargetMode="External" Id="rId224"/><Relationship Type="http://schemas.openxmlformats.org/officeDocument/2006/relationships/hyperlink" Target="https://td-perel.ru/catalog/vodopronitsaemaya/rodstone-shov-filtr-komponent-b/" TargetMode="External" Id="rId225"/><Relationship Type="http://schemas.openxmlformats.org/officeDocument/2006/relationships/hyperlink" Target="https://osnovit.ru/catalog/dobavki-v-rastvory/pigment-krasitel-osnovit-kolorskrin-adp1-chernyy/" TargetMode="External" Id="rId226"/><Relationship Type="http://schemas.openxmlformats.org/officeDocument/2006/relationships/hyperlink" Target="https://osnovit.ru/catalog/zatirki-i-rasshivki/metallizirovannaya-dobavka-dlya-epoksidnoy-zatirki-osnovit-plitseyv-xe1-/" TargetMode="External" Id="rId227"/><Relationship Type="http://schemas.openxmlformats.org/officeDocument/2006/relationships/hyperlink" Target="https://osnovit.ru/catalog/dobavki-v-rastvory/fibra-polipropilenovaya-osnovit-seyfskrin-fpp12_150/" TargetMode="External" Id="rId228"/><Relationship Type="http://schemas.openxmlformats.org/officeDocument/2006/relationships/hyperlink" Target="https://osnovit.ru/catalog/spetsialnye-rastvory/protivomoroznaya-dobavka-osnovit-seyvskrin-snn1/" TargetMode="External" Id="rId229"/><Relationship Type="http://schemas.openxmlformats.org/officeDocument/2006/relationships/hyperlink" Target="https://osnovit.ru/catalog/dobavki-v-rastvory/plastifikator-osnovit-seyfskrin-spp1/" TargetMode="External" Id="rId230"/><Relationship Type="http://schemas.openxmlformats.org/officeDocument/2006/relationships/hyperlink" Target="https://osnovit.ru/catalog/epoksidnye-zatirki-i-materialy-dlya-ochistki-/epoksidnaya-zatirka-osnovit-pro/" TargetMode="External" Id="rId231"/><Relationship Type="http://schemas.openxmlformats.org/officeDocument/2006/relationships/hyperlink" Target="https://osnovit.ru/catalog/zatirki-i-rasshivki/zatirka-epoksidnaya-osnovit-plitseyv-ultra-xe15-e-1kg/" TargetMode="External" Id="rId232"/><Relationship Type="http://schemas.openxmlformats.org/officeDocument/2006/relationships/hyperlink" Target="https://osnovit.ru/catalog/zatirki-i-rasshivki/zatirka-elastichnaya-osnovit-plitseyv-xe15-e/" TargetMode="External" Id="rId233"/><Relationship Type="http://schemas.openxmlformats.org/officeDocument/2006/relationships/hyperlink" Target="https://osnovit.ru/catalog/zatirki-i-rasshivki/epoksidnaya-zatirka-kley-osnovit-plitseyv-power-xe20-h/" TargetMode="External" Id="rId234"/><Relationship Type="http://schemas.openxmlformats.org/officeDocument/2006/relationships/hyperlink" Target="https://osnovit.ru/catalog/klei-dlya-oboev/unikholst/" TargetMode="External" Id="rId235"/><Relationship Type="http://schemas.openxmlformats.org/officeDocument/2006/relationships/hyperlink" Target="https://td-perel.ru/catalog/kraski/perel-elastico-14-kg/" TargetMode="External" Id="rId236"/><Relationship Type="http://schemas.openxmlformats.org/officeDocument/2006/relationships/hyperlink" Target="https://td-perel.ru/catalog/kraski/perel-lattice/" TargetMode="External" Id="rId237"/><Relationship Type="http://schemas.openxmlformats.org/officeDocument/2006/relationships/hyperlink" Target="https://td-perel.ru/catalog/fakturnye-materialy/perel-struttura-facci/" TargetMode="External" Id="rId238"/><Relationship Type="http://schemas.openxmlformats.org/officeDocument/2006/relationships/hyperlink" Target="https://td-perel.ru/catalog/fakturnye-materialy/perel-struttura-interno/" TargetMode="External" Id="rId239"/><Relationship Type="http://schemas.openxmlformats.org/officeDocument/2006/relationships/hyperlink" Target="https://td-perel.ru/catalog/kraski/perel-tintura/" TargetMode="External" Id="rId240"/><Relationship Type="http://schemas.openxmlformats.org/officeDocument/2006/relationships/hyperlink" Target="https://td-perel.ru/catalog/kraski/perel-vernice/" TargetMode="External" Id="rId241"/><Relationship Type="http://schemas.openxmlformats.org/officeDocument/2006/relationships/hyperlink" Target="https://osnovit.ru/catalog/emali/emal-po-derevu-univita-studio-albero-eas811-sm3/" TargetMode="External" Id="rId242"/><Relationship Type="http://schemas.openxmlformats.org/officeDocument/2006/relationships/hyperlink" Target="https://osnovit.ru/catalog/kraski/interernaya-kraska-matovaya-moyushchayasya-ekstraprochnaya-dlya-sten-i-potolkov-osnovit-univita-stud/" TargetMode="External" Id="rId243"/><Relationship Type="http://schemas.openxmlformats.org/officeDocument/2006/relationships/hyperlink" Target="https://osnovit.ru/catalog/kraski/interernaya-kraska-glubokomatovaya-moyushchayasya-dlya-sten-i-potolkov-osnovit-univita-studio-lusso-/" TargetMode="External" Id="rId244"/><Relationship Type="http://schemas.openxmlformats.org/officeDocument/2006/relationships/hyperlink" Target="https://osnovit.ru/catalog/kraski/osnovit-univita-studio-lusso-iii-sas993-cm2/" TargetMode="External" Id="rId245"/><Relationship Type="http://schemas.openxmlformats.org/officeDocument/2006/relationships/hyperlink" Target="https://osnovit.ru/catalog/emali/emal-po-metallu-univita-studio-metallo-eas821-pm20/" TargetMode="External" Id="rId246"/><Relationship Type="http://schemas.openxmlformats.org/officeDocument/2006/relationships/hyperlink" Target="https://osnovit.ru/catalog/emali/emal-dlya-okon-i-dverey-univita-studio-porta-eas831-pm20/" TargetMode="External" Id="rId247"/><Relationship Type="http://schemas.openxmlformats.org/officeDocument/2006/relationships/hyperlink" Target="https://osnovit.ru/catalog/kraski/interernaya-kraska-polumatovaya-moyushchayasya-dlya-sten-i-potolkov-osnovit-univita-studio-prime-i-s/" TargetMode="External" Id="rId248"/><Relationship Type="http://schemas.openxmlformats.org/officeDocument/2006/relationships/hyperlink" Target="https://osnovit.ru/catalog/emali/emal-dlya-radiatorov-otopleniya-univita-studio-termo-eas841-pm20/" TargetMode="External" Id="rId249"/><Relationship Type="http://schemas.openxmlformats.org/officeDocument/2006/relationships/hyperlink" Target="https://osnovit.ru/catalog/kraski/tekhno-laytkolor-sas995-sm2/" TargetMode="External" Id="rId250"/><Relationship Type="http://schemas.openxmlformats.org/officeDocument/2006/relationships/hyperlink" Target="https://osnovit.ru/catalog/kraski/kraska-interernaya-negoryuchaya-dlya-sten-i-potolkov-osnovit-tekhno-profkolor-cst993-cm2-km0/" TargetMode="External" Id="rId251"/><Relationship Type="http://schemas.openxmlformats.org/officeDocument/2006/relationships/hyperlink" Target="https://osnovit.ru/catalog/kraski/kraska-interernaya-negoryuchaya-dlya-sten-i-potolkov-osnovit-tekhno-profkolor-cst995-cm2-km0/" TargetMode="External" Id="rId252"/><Relationship Type="http://schemas.openxmlformats.org/officeDocument/2006/relationships/hyperlink" Target="https://osnovit.ru/catalog/kraski/kraska-interernaya-cilikatnaya-negoryuchaya-dlya-sten-i-potolkov-osnovit-tekhno-profkolor-cst-990-t-/" TargetMode="External" Id="rId253"/><Relationship Type="http://schemas.openxmlformats.org/officeDocument/2006/relationships/hyperlink" Target="https://osnovit.ru/catalog/kraski/kraska-interernaya-negoryuchaya-strukturnaya-dlya-sten-i-potolkov-osnovit-tekhno-profkolor-cst990-s-/" TargetMode="External" Id="rId254"/><Relationship Type="http://schemas.openxmlformats.org/officeDocument/2006/relationships/hyperlink" Target="https://osnovit.ru/catalog/kraski/kraska-interernaya-osnovit-tekhno-tekhkolor-cac990-s-/" TargetMode="External" Id="rId255"/><Relationship Type="http://schemas.openxmlformats.org/officeDocument/2006/relationships/hyperlink" Target="https://osnovit.ru/catalog/kraski/tekhno-tekhkolor-sac993-sm2/" TargetMode="External" Id="rId256"/><Relationship Type="http://schemas.openxmlformats.org/officeDocument/2006/relationships/hyperlink" Target="https://osnovit.ru/catalog/kraski/univita-ssl93/" TargetMode="External" Id="rId257"/><Relationship Type="http://schemas.openxmlformats.org/officeDocument/2006/relationships/hyperlink" Target="https://osnovit.ru/catalog/kraski/osnovit-univita-ssl93-ic-kraska-silikonovaya-fasadnaya-s-ingibitorom-korrozii/" TargetMode="External" Id="rId258"/><Relationship Type="http://schemas.openxmlformats.org/officeDocument/2006/relationships/hyperlink" Target="https://osnovit.ru/catalog/kraski/univita-cst92/" TargetMode="External" Id="rId259"/><Relationship Type="http://schemas.openxmlformats.org/officeDocument/2006/relationships/hyperlink" Target="https://osnovit.ru/catalog/kraski/osnovit-univita-sst92-ic-kraska-silikatnaya-fasadnaya-s-ingibitorom-korrozii/" TargetMode="External" Id="rId260"/><Relationship Type="http://schemas.openxmlformats.org/officeDocument/2006/relationships/hyperlink" Target="https://osnovit.ru/catalog/kraski/univita-sas91/" TargetMode="External" Id="rId261"/><Relationship Type="http://schemas.openxmlformats.org/officeDocument/2006/relationships/hyperlink" Target="https://osnovit.ru/catalog/kraski/osnovit-univita-sac91-ic-kraska-akrilovaya-fasadnaya-s-ingibitorom-korrozii/" TargetMode="External" Id="rId262"/><Relationship Type="http://schemas.openxmlformats.org/officeDocument/2006/relationships/hyperlink" Target="https://osnovit.ru/catalog/polimernye-pokrytiya/guardline/" TargetMode="External" Id="rId263"/><Relationship Type="http://schemas.openxmlformats.org/officeDocument/2006/relationships/hyperlink" Target="https://osnovit.ru/catalog/gidroizolyatsiya/gidroizolyatsionnaya-lenta-armirovannaya-setkoy-v-korobe-osnovit-akvaskrin-hb70-10-m/" TargetMode="External" Id="rId264"/><Relationship Type="http://schemas.openxmlformats.org/officeDocument/2006/relationships/hyperlink" Target="https://td-perel.ru/catalog/sredstvo-dlya-udaleniya-vysolov/perel-impregno/" TargetMode="External" Id="rId265"/><Relationship Type="http://schemas.openxmlformats.org/officeDocument/2006/relationships/hyperlink" Target="https://td-perel.ru/catalog/sredstvo-dlya-udaleniya-vysolov/perel-impregno99968760/" TargetMode="External" Id="rId266"/><Relationship Type="http://schemas.openxmlformats.org/officeDocument/2006/relationships/hyperlink" Target="https://osnovit.ru/catalog/spetsialnye-rastvory/seyfskin-sad1/" TargetMode="External" Id="rId267"/><Relationship Type="http://schemas.openxmlformats.org/officeDocument/2006/relationships/hyperlink" Target="https://td-perel.ru/catalog/gotovye_shpaklevki/gotovaya-finishnaya-shpatlevka-perel-rinzaffo-superbelaya-16-kg/" TargetMode="External" Id="rId268"/><Relationship Type="http://schemas.openxmlformats.org/officeDocument/2006/relationships/hyperlink" Target="https://osnovit.ru/catalog/shpaklevki/shpaklevka-polimernaya-finishnaya-osnovit-ekonsilk-pa391-mw-gotovaya/" TargetMode="External" Id="rId269"/><Relationship Type="http://schemas.openxmlformats.org/officeDocument/2006/relationships/hyperlink" Target="https://osnovit.ru/catalog/shpaklevki/gotovaya-armirovannaya-shpaklevka-dlya-remontnykh-rabot-osnovit-elisilk-ra39-h-1-kg/" TargetMode="External" Id="rId270"/><Relationship Type="http://schemas.openxmlformats.org/officeDocument/2006/relationships/hyperlink" Target="https://osnovit.ru/catalog/shpaklevki/elisilk-pa39-w/" TargetMode="External" Id="rId2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2" customWidth="1" min="1" max="1"/>
    <col width="9" customWidth="1" min="2" max="2"/>
    <col width="9" customWidth="1" min="3" max="3"/>
    <col width="10" customWidth="1" min="4" max="4"/>
    <col width="9" customWidth="1" min="5" max="5"/>
    <col width="16" customWidth="1" min="6" max="6"/>
  </cols>
  <sheetData>
    <row r="1">
      <c r="A1" s="1" t="inlineStr">
        <is>
          <t>Сухие строительные смеси — ассортимент трёх производителей (разведка 09.10.2026)</t>
        </is>
      </c>
    </row>
    <row r="2">
      <c r="A2" s="2" t="inlineStr">
        <is>
          <t>Считаются товары без учёта цвета и фасовки. Источник — полный обход каталогов td-perel.ru, dauer.ru, osnovit.ru 09.10.2026 (лист «Как собрано»). Числа считаются формулами из листа «Товары».</t>
        </is>
      </c>
    </row>
    <row r="4">
      <c r="A4" s="3" t="inlineStr">
        <is>
          <t>Раздел будущего сайта</t>
        </is>
      </c>
      <c r="B4" s="3" t="inlineStr">
        <is>
          <t>Perel</t>
        </is>
      </c>
      <c r="C4" s="3" t="inlineStr">
        <is>
          <t>Dauer</t>
        </is>
      </c>
      <c r="D4" s="3" t="inlineStr">
        <is>
          <t>Основит</t>
        </is>
      </c>
      <c r="E4" s="3" t="inlineStr">
        <is>
          <t>Всего</t>
        </is>
      </c>
      <c r="F4" s="3" t="inlineStr">
        <is>
          <t>У скольких производителей</t>
        </is>
      </c>
    </row>
    <row r="5">
      <c r="A5" s="4" t="inlineStr">
        <is>
          <t>Цветные кладочные растворы</t>
        </is>
      </c>
      <c r="B5" s="4">
        <f>COUNTIFS(Товары!$A$2:$A$272,"Perel",Товары!$B$2:$B$272,$A5,Товары!$C$2:$C$272,"&lt;&gt;нет")</f>
        <v/>
      </c>
      <c r="C5" s="4">
        <f>COUNTIFS(Товары!$A$2:$A$272,"Dauer",Товары!$B$2:$B$272,$A5,Товары!$C$2:$C$272,"&lt;&gt;нет")</f>
        <v/>
      </c>
      <c r="D5" s="4">
        <f>COUNTIFS(Товары!$A$2:$A$272,"Основит",Товары!$B$2:$B$272,$A5,Товары!$C$2:$C$272,"&lt;&gt;нет")</f>
        <v/>
      </c>
      <c r="E5" s="5">
        <f>SUM(B5:D5)</f>
        <v/>
      </c>
      <c r="F5" s="4">
        <f>(B5&gt;0)+(C5&gt;0)+(D5&gt;0)</f>
        <v/>
      </c>
    </row>
    <row r="6">
      <c r="A6" s="4" t="inlineStr">
        <is>
          <t>Кладочные растворы: рядовые и белые/серые</t>
        </is>
      </c>
      <c r="B6" s="4">
        <f>COUNTIFS(Товары!$A$2:$A$272,"Perel",Товары!$B$2:$B$272,$A6,Товары!$C$2:$C$272,"&lt;&gt;нет")</f>
        <v/>
      </c>
      <c r="C6" s="4">
        <f>COUNTIFS(Товары!$A$2:$A$272,"Dauer",Товары!$B$2:$B$272,$A6,Товары!$C$2:$C$272,"&lt;&gt;нет")</f>
        <v/>
      </c>
      <c r="D6" s="4">
        <f>COUNTIFS(Товары!$A$2:$A$272,"Основит",Товары!$B$2:$B$272,$A6,Товары!$C$2:$C$272,"&lt;&gt;нет")</f>
        <v/>
      </c>
      <c r="E6" s="5">
        <f>SUM(B6:D6)</f>
        <v/>
      </c>
      <c r="F6" s="4">
        <f>(B6&gt;0)+(C6&gt;0)+(D6&gt;0)</f>
        <v/>
      </c>
    </row>
    <row r="7">
      <c r="A7" s="4" t="inlineStr">
        <is>
          <t>Тёплые (теплоизоляционные) кладочные растворы</t>
        </is>
      </c>
      <c r="B7" s="4">
        <f>COUNTIFS(Товары!$A$2:$A$272,"Perel",Товары!$B$2:$B$272,$A7,Товары!$C$2:$C$272,"&lt;&gt;нет")</f>
        <v/>
      </c>
      <c r="C7" s="4">
        <f>COUNTIFS(Товары!$A$2:$A$272,"Dauer",Товары!$B$2:$B$272,$A7,Товары!$C$2:$C$272,"&lt;&gt;нет")</f>
        <v/>
      </c>
      <c r="D7" s="4">
        <f>COUNTIFS(Товары!$A$2:$A$272,"Основит",Товары!$B$2:$B$272,$A7,Товары!$C$2:$C$272,"&lt;&gt;нет")</f>
        <v/>
      </c>
      <c r="E7" s="5">
        <f>SUM(B7:D7)</f>
        <v/>
      </c>
      <c r="F7" s="4">
        <f>(B7&gt;0)+(C7&gt;0)+(D7&gt;0)</f>
        <v/>
      </c>
    </row>
    <row r="8">
      <c r="A8" s="4" t="inlineStr">
        <is>
          <t>Расшивка швов кирпичной кладки</t>
        </is>
      </c>
      <c r="B8" s="4">
        <f>COUNTIFS(Товары!$A$2:$A$272,"Perel",Товары!$B$2:$B$272,$A8,Товары!$C$2:$C$272,"&lt;&gt;нет")</f>
        <v/>
      </c>
      <c r="C8" s="4">
        <f>COUNTIFS(Товары!$A$2:$A$272,"Dauer",Товары!$B$2:$B$272,$A8,Товары!$C$2:$C$272,"&lt;&gt;нет")</f>
        <v/>
      </c>
      <c r="D8" s="4">
        <f>COUNTIFS(Товары!$A$2:$A$272,"Основит",Товары!$B$2:$B$272,$A8,Товары!$C$2:$C$272,"&lt;&gt;нет")</f>
        <v/>
      </c>
      <c r="E8" s="5">
        <f>SUM(B8:D8)</f>
        <v/>
      </c>
      <c r="F8" s="4">
        <f>(B8&gt;0)+(C8&gt;0)+(D8&gt;0)</f>
        <v/>
      </c>
    </row>
    <row r="9">
      <c r="A9" s="4" t="inlineStr">
        <is>
          <t>Клей для блоков и газобетона</t>
        </is>
      </c>
      <c r="B9" s="4">
        <f>COUNTIFS(Товары!$A$2:$A$272,"Perel",Товары!$B$2:$B$272,$A9,Товары!$C$2:$C$272,"&lt;&gt;нет")</f>
        <v/>
      </c>
      <c r="C9" s="4">
        <f>COUNTIFS(Товары!$A$2:$A$272,"Dauer",Товары!$B$2:$B$272,$A9,Товары!$C$2:$C$272,"&lt;&gt;нет")</f>
        <v/>
      </c>
      <c r="D9" s="4">
        <f>COUNTIFS(Товары!$A$2:$A$272,"Основит",Товары!$B$2:$B$272,$A9,Товары!$C$2:$C$272,"&lt;&gt;нет")</f>
        <v/>
      </c>
      <c r="E9" s="5">
        <f>SUM(B9:D9)</f>
        <v/>
      </c>
      <c r="F9" s="4">
        <f>(B9&gt;0)+(C9&gt;0)+(D9&gt;0)</f>
        <v/>
      </c>
    </row>
    <row r="10">
      <c r="A10" s="4" t="inlineStr">
        <is>
          <t>Гипсовый монтажный клей (ГКЛ, ПГП)</t>
        </is>
      </c>
      <c r="B10" s="4">
        <f>COUNTIFS(Товары!$A$2:$A$272,"Perel",Товары!$B$2:$B$272,$A10,Товары!$C$2:$C$272,"&lt;&gt;нет")</f>
        <v/>
      </c>
      <c r="C10" s="4">
        <f>COUNTIFS(Товары!$A$2:$A$272,"Dauer",Товары!$B$2:$B$272,$A10,Товары!$C$2:$C$272,"&lt;&gt;нет")</f>
        <v/>
      </c>
      <c r="D10" s="4">
        <f>COUNTIFS(Товары!$A$2:$A$272,"Основит",Товары!$B$2:$B$272,$A10,Товары!$C$2:$C$272,"&lt;&gt;нет")</f>
        <v/>
      </c>
      <c r="E10" s="5">
        <f>SUM(B10:D10)</f>
        <v/>
      </c>
      <c r="F10" s="4">
        <f>(B10&gt;0)+(C10&gt;0)+(D10&gt;0)</f>
        <v/>
      </c>
    </row>
    <row r="11">
      <c r="A11" s="4" t="inlineStr">
        <is>
          <t>Цементно-песчаные смеси М150–М400, пескобетон</t>
        </is>
      </c>
      <c r="B11" s="4">
        <f>COUNTIFS(Товары!$A$2:$A$272,"Perel",Товары!$B$2:$B$272,$A11,Товары!$C$2:$C$272,"&lt;&gt;нет")</f>
        <v/>
      </c>
      <c r="C11" s="4">
        <f>COUNTIFS(Товары!$A$2:$A$272,"Dauer",Товары!$B$2:$B$272,$A11,Товары!$C$2:$C$272,"&lt;&gt;нет")</f>
        <v/>
      </c>
      <c r="D11" s="4">
        <f>COUNTIFS(Товары!$A$2:$A$272,"Основит",Товары!$B$2:$B$272,$A11,Товары!$C$2:$C$272,"&lt;&gt;нет")</f>
        <v/>
      </c>
      <c r="E11" s="5">
        <f>SUM(B11:D11)</f>
        <v/>
      </c>
      <c r="F11" s="4">
        <f>(B11&gt;0)+(C11&gt;0)+(D11&gt;0)</f>
        <v/>
      </c>
    </row>
    <row r="12">
      <c r="A12" s="4" t="inlineStr">
        <is>
          <t>Штукатурки гипсовые</t>
        </is>
      </c>
      <c r="B12" s="4">
        <f>COUNTIFS(Товары!$A$2:$A$272,"Perel",Товары!$B$2:$B$272,$A12,Товары!$C$2:$C$272,"&lt;&gt;нет")</f>
        <v/>
      </c>
      <c r="C12" s="4">
        <f>COUNTIFS(Товары!$A$2:$A$272,"Dauer",Товары!$B$2:$B$272,$A12,Товары!$C$2:$C$272,"&lt;&gt;нет")</f>
        <v/>
      </c>
      <c r="D12" s="4">
        <f>COUNTIFS(Товары!$A$2:$A$272,"Основит",Товары!$B$2:$B$272,$A12,Товары!$C$2:$C$272,"&lt;&gt;нет")</f>
        <v/>
      </c>
      <c r="E12" s="5">
        <f>SUM(B12:D12)</f>
        <v/>
      </c>
      <c r="F12" s="4">
        <f>(B12&gt;0)+(C12&gt;0)+(D12&gt;0)</f>
        <v/>
      </c>
    </row>
    <row r="13">
      <c r="A13" s="4" t="inlineStr">
        <is>
          <t>Штукатурки цементные и цементно-известковые (вкл. обрызг)</t>
        </is>
      </c>
      <c r="B13" s="4">
        <f>COUNTIFS(Товары!$A$2:$A$272,"Perel",Товары!$B$2:$B$272,$A13,Товары!$C$2:$C$272,"&lt;&gt;нет")</f>
        <v/>
      </c>
      <c r="C13" s="4">
        <f>COUNTIFS(Товары!$A$2:$A$272,"Dauer",Товары!$B$2:$B$272,$A13,Товары!$C$2:$C$272,"&lt;&gt;нет")</f>
        <v/>
      </c>
      <c r="D13" s="4">
        <f>COUNTIFS(Товары!$A$2:$A$272,"Основит",Товары!$B$2:$B$272,$A13,Товары!$C$2:$C$272,"&lt;&gt;нет")</f>
        <v/>
      </c>
      <c r="E13" s="5">
        <f>SUM(B13:D13)</f>
        <v/>
      </c>
      <c r="F13" s="4">
        <f>(B13&gt;0)+(C13&gt;0)+(D13&gt;0)</f>
        <v/>
      </c>
    </row>
    <row r="14">
      <c r="A14" s="4" t="inlineStr">
        <is>
          <t>Шпаклёвки гипсовые</t>
        </is>
      </c>
      <c r="B14" s="4">
        <f>COUNTIFS(Товары!$A$2:$A$272,"Perel",Товары!$B$2:$B$272,$A14,Товары!$C$2:$C$272,"&lt;&gt;нет")</f>
        <v/>
      </c>
      <c r="C14" s="4">
        <f>COUNTIFS(Товары!$A$2:$A$272,"Dauer",Товары!$B$2:$B$272,$A14,Товары!$C$2:$C$272,"&lt;&gt;нет")</f>
        <v/>
      </c>
      <c r="D14" s="4">
        <f>COUNTIFS(Товары!$A$2:$A$272,"Основит",Товары!$B$2:$B$272,$A14,Товары!$C$2:$C$272,"&lt;&gt;нет")</f>
        <v/>
      </c>
      <c r="E14" s="5">
        <f>SUM(B14:D14)</f>
        <v/>
      </c>
      <c r="F14" s="4">
        <f>(B14&gt;0)+(C14&gt;0)+(D14&gt;0)</f>
        <v/>
      </c>
    </row>
    <row r="15">
      <c r="A15" s="4" t="inlineStr">
        <is>
          <t>Шпаклёвки цементные</t>
        </is>
      </c>
      <c r="B15" s="4">
        <f>COUNTIFS(Товары!$A$2:$A$272,"Perel",Товары!$B$2:$B$272,$A15,Товары!$C$2:$C$272,"&lt;&gt;нет")</f>
        <v/>
      </c>
      <c r="C15" s="4">
        <f>COUNTIFS(Товары!$A$2:$A$272,"Dauer",Товары!$B$2:$B$272,$A15,Товары!$C$2:$C$272,"&lt;&gt;нет")</f>
        <v/>
      </c>
      <c r="D15" s="4">
        <f>COUNTIFS(Товары!$A$2:$A$272,"Основит",Товары!$B$2:$B$272,$A15,Товары!$C$2:$C$272,"&lt;&gt;нет")</f>
        <v/>
      </c>
      <c r="E15" s="5">
        <f>SUM(B15:D15)</f>
        <v/>
      </c>
      <c r="F15" s="4">
        <f>(B15&gt;0)+(C15&gt;0)+(D15&gt;0)</f>
        <v/>
      </c>
    </row>
    <row r="16">
      <c r="A16" s="4" t="inlineStr">
        <is>
          <t>Шпаклёвки полимерные (сухие)</t>
        </is>
      </c>
      <c r="B16" s="4">
        <f>COUNTIFS(Товары!$A$2:$A$272,"Perel",Товары!$B$2:$B$272,$A16,Товары!$C$2:$C$272,"&lt;&gt;нет")</f>
        <v/>
      </c>
      <c r="C16" s="4">
        <f>COUNTIFS(Товары!$A$2:$A$272,"Dauer",Товары!$B$2:$B$272,$A16,Товары!$C$2:$C$272,"&lt;&gt;нет")</f>
        <v/>
      </c>
      <c r="D16" s="4">
        <f>COUNTIFS(Товары!$A$2:$A$272,"Основит",Товары!$B$2:$B$272,$A16,Товары!$C$2:$C$272,"&lt;&gt;нет")</f>
        <v/>
      </c>
      <c r="E16" s="5">
        <f>SUM(B16:D16)</f>
        <v/>
      </c>
      <c r="F16" s="4">
        <f>(B16&gt;0)+(C16&gt;0)+(D16&gt;0)</f>
        <v/>
      </c>
    </row>
    <row r="17">
      <c r="A17" s="4" t="inlineStr">
        <is>
          <t>Плиточные клеи</t>
        </is>
      </c>
      <c r="B17" s="4">
        <f>COUNTIFS(Товары!$A$2:$A$272,"Perel",Товары!$B$2:$B$272,$A17,Товары!$C$2:$C$272,"&lt;&gt;нет")</f>
        <v/>
      </c>
      <c r="C17" s="4">
        <f>COUNTIFS(Товары!$A$2:$A$272,"Dauer",Товары!$B$2:$B$272,$A17,Товары!$C$2:$C$272,"&lt;&gt;нет")</f>
        <v/>
      </c>
      <c r="D17" s="4">
        <f>COUNTIFS(Товары!$A$2:$A$272,"Основит",Товары!$B$2:$B$272,$A17,Товары!$C$2:$C$272,"&lt;&gt;нет")</f>
        <v/>
      </c>
      <c r="E17" s="5">
        <f>SUM(B17:D17)</f>
        <v/>
      </c>
      <c r="F17" s="4">
        <f>(B17&gt;0)+(C17&gt;0)+(D17&gt;0)</f>
        <v/>
      </c>
    </row>
    <row r="18">
      <c r="A18" s="4" t="inlineStr">
        <is>
          <t>Затирки для плитки и камня (сухие)</t>
        </is>
      </c>
      <c r="B18" s="4">
        <f>COUNTIFS(Товары!$A$2:$A$272,"Perel",Товары!$B$2:$B$272,$A18,Товары!$C$2:$C$272,"&lt;&gt;нет")</f>
        <v/>
      </c>
      <c r="C18" s="4">
        <f>COUNTIFS(Товары!$A$2:$A$272,"Dauer",Товары!$B$2:$B$272,$A18,Товары!$C$2:$C$272,"&lt;&gt;нет")</f>
        <v/>
      </c>
      <c r="D18" s="4">
        <f>COUNTIFS(Товары!$A$2:$A$272,"Основит",Товары!$B$2:$B$272,$A18,Товары!$C$2:$C$272,"&lt;&gt;нет")</f>
        <v/>
      </c>
      <c r="E18" s="5">
        <f>SUM(B18:D18)</f>
        <v/>
      </c>
      <c r="F18" s="4">
        <f>(B18&gt;0)+(C18&gt;0)+(D18&gt;0)</f>
        <v/>
      </c>
    </row>
    <row r="19">
      <c r="A19" s="4" t="inlineStr">
        <is>
          <t>Стяжки для пола</t>
        </is>
      </c>
      <c r="B19" s="4">
        <f>COUNTIFS(Товары!$A$2:$A$272,"Perel",Товары!$B$2:$B$272,$A19,Товары!$C$2:$C$272,"&lt;&gt;нет")</f>
        <v/>
      </c>
      <c r="C19" s="4">
        <f>COUNTIFS(Товары!$A$2:$A$272,"Dauer",Товары!$B$2:$B$272,$A19,Товары!$C$2:$C$272,"&lt;&gt;нет")</f>
        <v/>
      </c>
      <c r="D19" s="4">
        <f>COUNTIFS(Товары!$A$2:$A$272,"Основит",Товары!$B$2:$B$272,$A19,Товары!$C$2:$C$272,"&lt;&gt;нет")</f>
        <v/>
      </c>
      <c r="E19" s="5">
        <f>SUM(B19:D19)</f>
        <v/>
      </c>
      <c r="F19" s="4">
        <f>(B19&gt;0)+(C19&gt;0)+(D19&gt;0)</f>
        <v/>
      </c>
    </row>
    <row r="20">
      <c r="A20" s="4" t="inlineStr">
        <is>
          <t>Наливные полы и ровнители</t>
        </is>
      </c>
      <c r="B20" s="4">
        <f>COUNTIFS(Товары!$A$2:$A$272,"Perel",Товары!$B$2:$B$272,$A20,Товары!$C$2:$C$272,"&lt;&gt;нет")</f>
        <v/>
      </c>
      <c r="C20" s="4">
        <f>COUNTIFS(Товары!$A$2:$A$272,"Dauer",Товары!$B$2:$B$272,$A20,Товары!$C$2:$C$272,"&lt;&gt;нет")</f>
        <v/>
      </c>
      <c r="D20" s="4">
        <f>COUNTIFS(Товары!$A$2:$A$272,"Основит",Товары!$B$2:$B$272,$A20,Товары!$C$2:$C$272,"&lt;&gt;нет")</f>
        <v/>
      </c>
      <c r="E20" s="5">
        <f>SUM(B20:D20)</f>
        <v/>
      </c>
      <c r="F20" s="4">
        <f>(B20&gt;0)+(C20&gt;0)+(D20&gt;0)</f>
        <v/>
      </c>
    </row>
    <row r="21">
      <c r="A21" s="4" t="inlineStr">
        <is>
          <t>Гидроизоляция сухая и гидропломба</t>
        </is>
      </c>
      <c r="B21" s="4">
        <f>COUNTIFS(Товары!$A$2:$A$272,"Perel",Товары!$B$2:$B$272,$A21,Товары!$C$2:$C$272,"&lt;&gt;нет")</f>
        <v/>
      </c>
      <c r="C21" s="4">
        <f>COUNTIFS(Товары!$A$2:$A$272,"Dauer",Товары!$B$2:$B$272,$A21,Товары!$C$2:$C$272,"&lt;&gt;нет")</f>
        <v/>
      </c>
      <c r="D21" s="4">
        <f>COUNTIFS(Товары!$A$2:$A$272,"Основит",Товары!$B$2:$B$272,$A21,Товары!$C$2:$C$272,"&lt;&gt;нет")</f>
        <v/>
      </c>
      <c r="E21" s="5">
        <f>SUM(B21:D21)</f>
        <v/>
      </c>
      <c r="F21" s="4">
        <f>(B21&gt;0)+(C21&gt;0)+(D21&gt;0)</f>
        <v/>
      </c>
    </row>
    <row r="22">
      <c r="A22" s="4" t="inlineStr">
        <is>
          <t>Смеси для систем утепления фасада (клеевые и базовые)</t>
        </is>
      </c>
      <c r="B22" s="4">
        <f>COUNTIFS(Товары!$A$2:$A$272,"Perel",Товары!$B$2:$B$272,$A22,Товары!$C$2:$C$272,"&lt;&gt;нет")</f>
        <v/>
      </c>
      <c r="C22" s="4">
        <f>COUNTIFS(Товары!$A$2:$A$272,"Dauer",Товары!$B$2:$B$272,$A22,Товары!$C$2:$C$272,"&lt;&gt;нет")</f>
        <v/>
      </c>
      <c r="D22" s="4">
        <f>COUNTIFS(Товары!$A$2:$A$272,"Основит",Товары!$B$2:$B$272,$A22,Товары!$C$2:$C$272,"&lt;&gt;нет")</f>
        <v/>
      </c>
      <c r="E22" s="5">
        <f>SUM(B22:D22)</f>
        <v/>
      </c>
      <c r="F22" s="4">
        <f>(B22&gt;0)+(C22&gt;0)+(D22&gt;0)</f>
        <v/>
      </c>
    </row>
    <row r="23">
      <c r="A23" s="4" t="inlineStr">
        <is>
          <t>Декоративные штукатурки сухие (минеральные)</t>
        </is>
      </c>
      <c r="B23" s="4">
        <f>COUNTIFS(Товары!$A$2:$A$272,"Perel",Товары!$B$2:$B$272,$A23,Товары!$C$2:$C$272,"&lt;&gt;нет")</f>
        <v/>
      </c>
      <c r="C23" s="4">
        <f>COUNTIFS(Товары!$A$2:$A$272,"Dauer",Товары!$B$2:$B$272,$A23,Товары!$C$2:$C$272,"&lt;&gt;нет")</f>
        <v/>
      </c>
      <c r="D23" s="4">
        <f>COUNTIFS(Товары!$A$2:$A$272,"Основит",Товары!$B$2:$B$272,$A23,Товары!$C$2:$C$272,"&lt;&gt;нет")</f>
        <v/>
      </c>
      <c r="E23" s="5">
        <f>SUM(B23:D23)</f>
        <v/>
      </c>
      <c r="F23" s="4">
        <f>(B23&gt;0)+(C23&gt;0)+(D23&gt;0)</f>
        <v/>
      </c>
    </row>
    <row r="24">
      <c r="A24" s="4" t="inlineStr">
        <is>
          <t>Смеси для брусчатки и мощения</t>
        </is>
      </c>
      <c r="B24" s="4">
        <f>COUNTIFS(Товары!$A$2:$A$272,"Perel",Товары!$B$2:$B$272,$A24,Товары!$C$2:$C$272,"&lt;&gt;нет")</f>
        <v/>
      </c>
      <c r="C24" s="4">
        <f>COUNTIFS(Товары!$A$2:$A$272,"Dauer",Товары!$B$2:$B$272,$A24,Товары!$C$2:$C$272,"&lt;&gt;нет")</f>
        <v/>
      </c>
      <c r="D24" s="4">
        <f>COUNTIFS(Товары!$A$2:$A$272,"Основит",Товары!$B$2:$B$272,$A24,Товары!$C$2:$C$272,"&lt;&gt;нет")</f>
        <v/>
      </c>
      <c r="E24" s="5">
        <f>SUM(B24:D24)</f>
        <v/>
      </c>
      <c r="F24" s="4">
        <f>(B24&gt;0)+(C24&gt;0)+(D24&gt;0)</f>
        <v/>
      </c>
    </row>
    <row r="25">
      <c r="A25" s="4" t="inlineStr">
        <is>
          <t>Смеси для печей и каминов</t>
        </is>
      </c>
      <c r="B25" s="4">
        <f>COUNTIFS(Товары!$A$2:$A$272,"Perel",Товары!$B$2:$B$272,$A25,Товары!$C$2:$C$272,"&lt;&gt;нет")</f>
        <v/>
      </c>
      <c r="C25" s="4">
        <f>COUNTIFS(Товары!$A$2:$A$272,"Dauer",Товары!$B$2:$B$272,$A25,Товары!$C$2:$C$272,"&lt;&gt;нет")</f>
        <v/>
      </c>
      <c r="D25" s="4">
        <f>COUNTIFS(Товары!$A$2:$A$272,"Основит",Товары!$B$2:$B$272,$A25,Товары!$C$2:$C$272,"&lt;&gt;нет")</f>
        <v/>
      </c>
      <c r="E25" s="5">
        <f>SUM(B25:D25)</f>
        <v/>
      </c>
      <c r="F25" s="4">
        <f>(B25&gt;0)+(C25&gt;0)+(D25&gt;0)</f>
        <v/>
      </c>
    </row>
    <row r="26">
      <c r="A26" s="4" t="inlineStr">
        <is>
          <t>Ремонт бетона и спецрастворы</t>
        </is>
      </c>
      <c r="B26" s="4">
        <f>COUNTIFS(Товары!$A$2:$A$272,"Perel",Товары!$B$2:$B$272,$A26,Товары!$C$2:$C$272,"&lt;&gt;нет")</f>
        <v/>
      </c>
      <c r="C26" s="4">
        <f>COUNTIFS(Товары!$A$2:$A$272,"Dauer",Товары!$B$2:$B$272,$A26,Товары!$C$2:$C$272,"&lt;&gt;нет")</f>
        <v/>
      </c>
      <c r="D26" s="4">
        <f>COUNTIFS(Товары!$A$2:$A$272,"Основит",Товары!$B$2:$B$272,$A26,Товары!$C$2:$C$272,"&lt;&gt;нет")</f>
        <v/>
      </c>
      <c r="E26" s="5">
        <f>SUM(B26:D26)</f>
        <v/>
      </c>
      <c r="F26" s="4">
        <f>(B26&gt;0)+(C26&gt;0)+(D26&gt;0)</f>
        <v/>
      </c>
    </row>
    <row r="27">
      <c r="A27" s="4" t="inlineStr">
        <is>
          <t>Краска сухая (цементно-известковая)</t>
        </is>
      </c>
      <c r="B27" s="4">
        <f>COUNTIFS(Товары!$A$2:$A$272,"Perel",Товары!$B$2:$B$272,$A27,Товары!$C$2:$C$272,"&lt;&gt;нет")</f>
        <v/>
      </c>
      <c r="C27" s="4">
        <f>COUNTIFS(Товары!$A$2:$A$272,"Dauer",Товары!$B$2:$B$272,$A27,Товары!$C$2:$C$272,"&lt;&gt;нет")</f>
        <v/>
      </c>
      <c r="D27" s="4">
        <f>COUNTIFS(Товары!$A$2:$A$272,"Основит",Товары!$B$2:$B$272,$A27,Товары!$C$2:$C$272,"&lt;&gt;нет")</f>
        <v/>
      </c>
      <c r="E27" s="5">
        <f>SUM(B27:D27)</f>
        <v/>
      </c>
      <c r="F27" s="4">
        <f>(B27&gt;0)+(C27&gt;0)+(D27&gt;0)</f>
        <v/>
      </c>
    </row>
    <row r="28">
      <c r="A28" s="5" t="inlineStr">
        <is>
          <t>Итого сухих смесей</t>
        </is>
      </c>
      <c r="B28" s="5">
        <f>SUM(B5:B27)</f>
        <v/>
      </c>
      <c r="C28" s="5">
        <f>SUM(C5:C27)</f>
        <v/>
      </c>
      <c r="D28" s="5">
        <f>SUM(D5:D27)</f>
        <v/>
      </c>
      <c r="E28" s="5">
        <f>SUM(E5:E27)</f>
        <v/>
      </c>
    </row>
    <row r="30">
      <c r="A30" s="4" t="inlineStr">
        <is>
          <t>Сопутствующие не сухие товары (грунты, краски, пасты, добавки, бытовая химия)</t>
        </is>
      </c>
      <c r="B30" s="4">
        <f>COUNTIFS(Товары!$A$2:$A$272,"Perel",Товары!$C$2:$C$272,"нет")</f>
        <v/>
      </c>
      <c r="C30" s="4">
        <f>COUNTIFS(Товары!$A$2:$A$272,"Dauer",Товары!$C$2:$C$272,"нет")</f>
        <v/>
      </c>
      <c r="D30" s="4">
        <f>COUNTIFS(Товары!$A$2:$A$272,"Основит",Товары!$C$2:$C$272,"нет")</f>
        <v/>
      </c>
      <c r="E30" s="5">
        <f>SUM(B30:D30)</f>
        <v/>
      </c>
    </row>
    <row r="31">
      <c r="A31" s="4" t="inlineStr">
        <is>
          <t>Разделов, где позиции есть у всех трёх</t>
        </is>
      </c>
      <c r="E31" s="5">
        <f>COUNTIF(F5:F27,3)</f>
        <v/>
      </c>
    </row>
    <row r="32">
      <c r="A32" s="4" t="inlineStr">
        <is>
          <t>Разделов, где позиции есть только у одного</t>
        </is>
      </c>
      <c r="E32" s="5">
        <f>COUNTIF(F5:F27,1)</f>
        <v/>
      </c>
    </row>
    <row r="34">
      <c r="A34" s="2" t="inlineStr">
        <is>
          <t>Цветные кладочные растворы — тема соседнего сайта «Цветные кладочные смеси»: здесь коротко и ссылкой.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30" customWidth="1" min="4" max="4"/>
    <col width="44" customWidth="1" min="5" max="5"/>
    <col width="12" customWidth="1" min="6" max="6"/>
    <col width="60" customWidth="1" min="7" max="7"/>
    <col width="22" customWidth="1" min="8" max="8"/>
    <col width="30" customWidth="1" min="9" max="9"/>
    <col width="22" customWidth="1" min="10" max="10"/>
    <col width="20" customWidth="1" min="11" max="11"/>
    <col width="14" customWidth="1" min="12" max="12"/>
    <col width="20" customWidth="1" min="13" max="13"/>
    <col width="50" customWidth="1" min="14" max="14"/>
    <col width="50" customWidth="1" min="15" max="15"/>
  </cols>
  <sheetData>
    <row r="1" ht="32" customHeight="1">
      <c r="A1" s="6" t="inlineStr">
        <is>
          <t>Производитель</t>
        </is>
      </c>
      <c r="B1" s="6" t="inlineStr">
        <is>
          <t>Раздел будущего сайта</t>
        </is>
      </c>
      <c r="C1" s="6" t="inlineStr">
        <is>
          <t>Сухая смесь</t>
        </is>
      </c>
      <c r="D1" s="6" t="inlineStr">
        <is>
          <t>Товар (без цвета и фасовки)</t>
        </is>
      </c>
      <c r="E1" s="6" t="inlineStr">
        <is>
          <t>Название на сайте производителя</t>
        </is>
      </c>
      <c r="F1" s="6" t="inlineStr">
        <is>
          <t>Карточек у производителя (цвета, фасовки)</t>
        </is>
      </c>
      <c r="G1" s="6" t="inlineStr">
        <is>
          <t>Назначение — дословно</t>
        </is>
      </c>
      <c r="H1" s="6" t="inlineStr">
        <is>
          <t>Фасовка — дословно</t>
        </is>
      </c>
      <c r="I1" s="6" t="inlineStr">
        <is>
          <t>Расход — дословно</t>
        </is>
      </c>
      <c r="J1" s="6" t="inlineStr">
        <is>
          <t>Толщина слоя или шва — дословно</t>
        </is>
      </c>
      <c r="K1" s="6" t="inlineStr">
        <is>
          <t>Норматив — дословно</t>
        </is>
      </c>
      <c r="L1" s="6" t="inlineStr">
        <is>
          <t>Зимняя версия</t>
        </is>
      </c>
      <c r="M1" s="6" t="inlineStr">
        <is>
          <t>Цвета — дословно</t>
        </is>
      </c>
      <c r="N1" s="6" t="inlineStr">
        <is>
          <t>Ссылка на карточку</t>
        </is>
      </c>
      <c r="O1" s="6" t="inlineStr">
        <is>
          <t>Примечание разбора</t>
        </is>
      </c>
    </row>
    <row r="2">
      <c r="A2" s="7" t="inlineStr">
        <is>
          <t>Dauer</t>
        </is>
      </c>
      <c r="B2" s="7" t="inlineStr">
        <is>
          <t>Цветные кладочные растворы</t>
        </is>
      </c>
      <c r="C2" s="7" t="inlineStr">
        <is>
          <t>да</t>
        </is>
      </c>
      <c r="D2" s="7" t="inlineStr">
        <is>
          <t>Dauer BRICK.COLOR 250</t>
        </is>
      </c>
      <c r="E2" s="7" t="inlineStr">
        <is>
          <t>Dauer BRICK.COLOR 250 цветная кладочная смесь армированная</t>
        </is>
      </c>
      <c r="F2" s="7" t="n">
        <v>1</v>
      </c>
      <c r="G2" s="7" t="inlineStr">
        <is>
          <t>Для монтажа и одновременной отделки швов кладочных элементов с водопоглощением от 6 до 12%</t>
        </is>
      </c>
      <c r="H2" s="7" t="inlineStr">
        <is>
          <t>3,5 – 4,5 литра воды на мешок 25 кг или 7 – 9 литров на мешок 50 кг</t>
        </is>
      </c>
      <c r="I2" s="7" t="inlineStr"/>
      <c r="J2" s="7" t="inlineStr">
        <is>
          <t>5-15 мм</t>
        </is>
      </c>
      <c r="K2" s="7" t="inlineStr">
        <is>
          <t>ГОСТ Р 58272</t>
        </is>
      </c>
      <c r="L2" s="7" t="inlineStr">
        <is>
          <t>есть</t>
        </is>
      </c>
      <c r="M2" s="7" t="inlineStr">
        <is>
          <t>25 цветов</t>
        </is>
      </c>
      <c r="N2" s="7" t="inlineStr">
        <is>
          <t>https://dauer.ru/catalog/montazhnye-i-kladochnye/dauer-brick-color-250/</t>
        </is>
      </c>
      <c r="O2" s="7" t="inlineStr">
        <is>
          <t>Строки «Фасовка» на карточке нет: мешки 25 и 50 кг упомянуты только в приготовлении раствора; «Смесь поставляется в бумажных мешках». Есть зимняя версия (характеристики «(зимняя версия)», нанесение -10…+30°С; PDF «+ЗИМА»). Внутренние/наружные работы не указаны. Расход раствора не указан. Список 25 цветов на карточке текстом не приведён. Минимальное оседание раствора в пустотах кирпича (особенности</t>
        </is>
      </c>
    </row>
    <row r="3">
      <c r="A3" s="7" t="inlineStr">
        <is>
          <t>Dauer</t>
        </is>
      </c>
      <c r="B3" s="7" t="inlineStr">
        <is>
          <t>Цветные кладочные растворы</t>
        </is>
      </c>
      <c r="C3" s="7" t="inlineStr">
        <is>
          <t>да</t>
        </is>
      </c>
      <c r="D3" s="7" t="inlineStr">
        <is>
          <t>Dauer BRICK.COLOR 251</t>
        </is>
      </c>
      <c r="E3" s="7" t="inlineStr">
        <is>
          <t>Dauer BRICK.COLOR 251 цветная кладочная смесь армированная</t>
        </is>
      </c>
      <c r="F3" s="7" t="n">
        <v>1</v>
      </c>
      <c r="G3" s="7" t="inlineStr">
        <is>
          <t>Для монтажа и одновременной отделки швов кладочных элементов с водопоглощением от 5 до 18% (полнотелый и пустотелый облицовочный керамический кирпич, кирпич ручной формовки, рядовой керамический и плотный силикатный кирпич, кирпичи или блоки из бетона и натурального камня).</t>
        </is>
      </c>
      <c r="H3" s="7" t="inlineStr">
        <is>
          <t>3,5 – 4,5 литра воды на мешок 25 кг или 7 – 9 литров на мешок 50 кг</t>
        </is>
      </c>
      <c r="I3" s="7" t="inlineStr"/>
      <c r="J3" s="7" t="inlineStr">
        <is>
          <t>5-15 мм</t>
        </is>
      </c>
      <c r="K3" s="7" t="inlineStr">
        <is>
          <t>ГОСТ Р 58272</t>
        </is>
      </c>
      <c r="L3" s="7" t="inlineStr">
        <is>
          <t>есть</t>
        </is>
      </c>
      <c r="M3" s="7" t="inlineStr">
        <is>
          <t>25 цветов</t>
        </is>
      </c>
      <c r="N3" s="7" t="inlineStr">
        <is>
          <t>https://dauer.ru/catalog/montazhnye-i-kladochnye/dauer-brick-color-251/</t>
        </is>
      </c>
      <c r="O3" s="7" t="inlineStr">
        <is>
          <t>Строки «Фасовка» нет: мешки 25 и 50 кг упомянуты только в приготовлении раствора. Есть зимняя версия (характеристики «(зимняя версия)», нанесение -10…+30°С; PDF «+ЗИМА»). Внутренние/наружные работы не указаны. Расход раствора не указан. Список 25 цветов на карточке текстом не приведён. Добавка против высолов (особенности).</t>
        </is>
      </c>
    </row>
    <row r="4">
      <c r="A4" s="7" t="inlineStr">
        <is>
          <t>Dauer</t>
        </is>
      </c>
      <c r="B4" s="7" t="inlineStr">
        <is>
          <t>Цветные кладочные растворы</t>
        </is>
      </c>
      <c r="C4" s="7" t="inlineStr">
        <is>
          <t>да</t>
        </is>
      </c>
      <c r="D4" s="7" t="inlineStr">
        <is>
          <t>Dauer BRICK.COLOR 252</t>
        </is>
      </c>
      <c r="E4" s="7" t="inlineStr">
        <is>
          <t>Dauer BRICK.COLOR 252 цветная кладочная смесь армированная</t>
        </is>
      </c>
      <c r="F4" s="7" t="n">
        <v>1</v>
      </c>
      <c r="G4" s="7" t="inlineStr">
        <is>
          <t>Для монтажа и одновременной отделки швов кладочных элементов с водопоглощением от 1 до 5% (полнотелый и пустотелый облицовочный клинкерный кирпич, блоки из бетона и натурального камня).</t>
        </is>
      </c>
      <c r="H4" s="7" t="inlineStr">
        <is>
          <t>Смесь поставляется в бумажных мешках.</t>
        </is>
      </c>
      <c r="I4" s="7" t="inlineStr"/>
      <c r="J4" s="7" t="inlineStr">
        <is>
          <t>5-15 мм</t>
        </is>
      </c>
      <c r="K4" s="7" t="inlineStr">
        <is>
          <t>ГОСТ Р 58272</t>
        </is>
      </c>
      <c r="L4" s="7" t="inlineStr">
        <is>
          <t>есть</t>
        </is>
      </c>
      <c r="M4" s="7" t="inlineStr">
        <is>
          <t>25 цветов</t>
        </is>
      </c>
      <c r="N4" s="7" t="inlineStr">
        <is>
          <t>https://dauer.ru/catalog/montazhnye-i-kladochnye/dauer-brick-color-252/</t>
        </is>
      </c>
      <c r="O4" s="7" t="inlineStr">
        <is>
          <t>Масса мешка не указана вовсе (только «бумажные мешки»), раздела «Выполнение работ» на карточке нет. Для клинкера: марка 15 МПа, морозостойкость 150 циклов. Есть зимняя версия (характеристики «(зимняя версия)», нанесение -10…+30°С; PDF «+ЗИМА»). Внутренние/наружные работы не указаны. Расход раствора не указан. Список 25 цветов на карточке текстом не приведён.</t>
        </is>
      </c>
    </row>
    <row r="5">
      <c r="A5" s="7" t="inlineStr">
        <is>
          <t>Perel</t>
        </is>
      </c>
      <c r="B5" s="7" t="inlineStr">
        <is>
          <t>Цветные кладочные растворы</t>
        </is>
      </c>
      <c r="C5" s="7" t="inlineStr">
        <is>
          <t>да</t>
        </is>
      </c>
      <c r="D5" s="7" t="inlineStr">
        <is>
          <t>Perel NL</t>
        </is>
      </c>
      <c r="E5" s="7" t="inlineStr">
        <is>
          <t>Белая кладочная смесь Perel NL 0105, 25 кг</t>
        </is>
      </c>
      <c r="F5" s="7" t="n">
        <v>28</v>
      </c>
      <c r="G5" s="7" t="inlineStr">
        <is>
          <t>Цветная смесь Perel NL 0105 для кладки облицовочного кирпича с низким водопоглощением от 0 до 5% (клинкерный кирпич и т.п.).</t>
        </is>
      </c>
      <c r="H5" s="7" t="inlineStr">
        <is>
          <t>фасовка 50 кг</t>
        </is>
      </c>
      <c r="I5" s="7" t="inlineStr"/>
      <c r="J5" s="7" t="inlineStr"/>
      <c r="K5" s="7" t="inlineStr">
        <is>
          <t>Нанесение смеси производить в соответствии со СП 70.13330.2012</t>
        </is>
      </c>
      <c r="L5" s="7" t="inlineStr">
        <is>
          <t>есть</t>
        </is>
      </c>
      <c r="M5" s="7" t="inlineStr"/>
      <c r="N5" s="7" t="inlineStr">
        <is>
          <t>https://td-perel.ru/catalog/perel-nl/belaya-kladochnaya-smes-perel-nl-25-kg/</t>
        </is>
      </c>
      <c r="O5" s="7" t="inlineStr">
        <is>
          <t>Цветной кладочный для клинкера (пересечение с сайтом «Цветные кладочные смеси»). Артикул: в названии и описании 0105, в характеристиках 0101 — какой верный, не ясно. Общие замечания по NL — в batch_notes.</t>
        </is>
      </c>
    </row>
    <row r="6">
      <c r="A6" s="7" t="inlineStr">
        <is>
          <t>Perel</t>
        </is>
      </c>
      <c r="B6" s="7" t="inlineStr">
        <is>
          <t>Цветные кладочные растворы</t>
        </is>
      </c>
      <c r="C6" s="7" t="inlineStr">
        <is>
          <t>да</t>
        </is>
      </c>
      <c r="D6" s="7" t="inlineStr">
        <is>
          <t>Perel SL</t>
        </is>
      </c>
      <c r="E6" s="7" t="inlineStr">
        <is>
          <t>Белая кладочная смесь Perel SL 0005, 25 кг</t>
        </is>
      </c>
      <c r="F6" s="7" t="n">
        <v>28</v>
      </c>
      <c r="G6" s="7" t="inlineStr">
        <is>
          <t>Цветная смесь Perel SL 0005 для кладки облицовочного кирпича с средним водопоглощением от 5 до 12 % (керамический кирпич и т.п.).</t>
        </is>
      </c>
      <c r="H6" s="7" t="inlineStr">
        <is>
          <t>фасовка 50 кг</t>
        </is>
      </c>
      <c r="I6" s="7" t="inlineStr"/>
      <c r="J6" s="7" t="inlineStr"/>
      <c r="K6" s="7" t="inlineStr">
        <is>
          <t>СП 70.13330.2012</t>
        </is>
      </c>
      <c r="L6" s="7" t="inlineStr">
        <is>
          <t>есть</t>
        </is>
      </c>
      <c r="M6" s="7" t="inlineStr">
        <is>
          <t>цвет красный</t>
        </is>
      </c>
      <c r="N6" s="7" t="inlineStr">
        <is>
          <t>https://td-perel.ru/catalog/perel-sl/belaya-kladochnaya-smes-perel-sl-25-kg/</t>
        </is>
      </c>
      <c r="O6" s="7" t="inlineStr">
        <is>
          <t>В заголовке единственной из пачки стоит артикул («SL 0005, 25 кг»). Белый внутри цветной линейки SL — тип masonry_colored. Расхода нет; толщина шва числом не указана. «Зима» упомянута в описании, отдельной карточки нет.</t>
        </is>
      </c>
    </row>
    <row r="7">
      <c r="A7" s="7" t="inlineStr">
        <is>
          <t>Perel</t>
        </is>
      </c>
      <c r="B7" s="7" t="inlineStr">
        <is>
          <t>Цветные кладочные растворы</t>
        </is>
      </c>
      <c r="C7" s="7" t="inlineStr">
        <is>
          <t>да</t>
        </is>
      </c>
      <c r="D7" s="7" t="inlineStr">
        <is>
          <t>Perel VL</t>
        </is>
      </c>
      <c r="E7" s="7" t="inlineStr">
        <is>
          <t>Белая кладочная смесь Perel VL 0205, 25 кг</t>
        </is>
      </c>
      <c r="F7" s="7" t="n">
        <v>28</v>
      </c>
      <c r="G7" s="7" t="inlineStr">
        <is>
          <t>Цветная смесь Perel VL 0205 для кладки облицовочного кирпича с высоким водопоглощением от 5 до 17% (кирпич ручной формовки и т.п.).</t>
        </is>
      </c>
      <c r="H7" s="7" t="inlineStr">
        <is>
          <t>фасовка 25 кг</t>
        </is>
      </c>
      <c r="I7" s="7" t="inlineStr"/>
      <c r="J7" s="7" t="inlineStr"/>
      <c r="K7" s="7" t="inlineStr">
        <is>
          <t>СП 70.13330.2012</t>
        </is>
      </c>
      <c r="L7" s="7" t="inlineStr">
        <is>
          <t>есть</t>
        </is>
      </c>
      <c r="M7" s="7" t="inlineStr">
        <is>
          <t>цвет бежевый</t>
        </is>
      </c>
      <c r="N7" s="7" t="inlineStr">
        <is>
          <t>https://td-perel.ru/catalog/perel-vl/belaya-kladochnaya-smes-perel-vl-25-kg/</t>
        </is>
      </c>
      <c r="O7" s="7" t="inlineStr">
        <is>
          <t>белый цвет внутри цветной линейки VL (оставлен masonry_colored); артикул 0205 вынесен в заголовок; основа вяжущего и расход на кладку не указаны; модификация «зима» упоминается только в описании</t>
        </is>
      </c>
    </row>
    <row r="8">
      <c r="A8" s="7" t="inlineStr">
        <is>
          <t>Основит</t>
        </is>
      </c>
      <c r="B8" s="7" t="inlineStr">
        <is>
          <t>Цветные кладочные растворы</t>
        </is>
      </c>
      <c r="C8" s="7" t="inlineStr">
        <is>
          <t>да</t>
        </is>
      </c>
      <c r="D8" s="7" t="inlineStr">
        <is>
          <t>Основит Брикформ MC11</t>
        </is>
      </c>
      <c r="E8" s="7" t="inlineStr">
        <is>
          <t>Раствор кладочный зимний для облицовочного кирпича Основит Брикформ MC11 F 25 кг</t>
        </is>
      </c>
      <c r="F8" s="7" t="n">
        <v>3</v>
      </c>
      <c r="G8" s="7" t="inlineStr">
        <is>
          <t>Кладочный раствор ОСНОВИТ БРИКФОРМ МС11 F зимний предназначен для кладки стен из облицовочного кирпича с водопоглощением до 12% с возможностью расшивки швов в момент укладки при температуре окружающей среды и основания от -10 до + 10°С.</t>
        </is>
      </c>
      <c r="H8" s="7" t="inlineStr">
        <is>
          <t>Мешок 25кг</t>
        </is>
      </c>
      <c r="I8" s="7" t="inlineStr">
        <is>
          <t>Расход смеси, кг на 1м² кладки (ложковая кладка)
50 кг</t>
        </is>
      </c>
      <c r="J8" s="7" t="inlineStr">
        <is>
          <t>Рекомендуемая толщина шва кладки
5-15 мм</t>
        </is>
      </c>
      <c r="K8" s="7" t="inlineStr">
        <is>
          <t>G M100, ГОСТ Р 58272-2018</t>
        </is>
      </c>
      <c r="L8" s="7" t="inlineStr">
        <is>
          <t>есть</t>
        </is>
      </c>
      <c r="M8" s="7" t="inlineStr">
        <is>
          <t>17 цветов</t>
        </is>
      </c>
      <c r="N8" s="7" t="inlineStr">
        <is>
          <t>https://osnovit.ru/catalog/kladochnye-rastvory/kladochnyy-rastvor-osnovit-brikform-ms11-f-zimniy-belyy-010/</t>
        </is>
      </c>
      <c r="O8" s="7" t="inlineStr">
        <is>
          <t>URL карточки «…zimniy-belyy-010», но страница описывает весь MC11 F (17 цветов); есть оговорка о фасовке в мешок «БРИКФОРМ МС11 БЕЛЫЙ 010» со стикером «зимний». Расхождение температур: в назначении «от -10 до + 10°С», в характеристиках «-10…+5 ºС». Строка «Прочность сцепления с основанием» в характеристиках повторена дважды. Документация (описание, техкарта) названа, но ссылок PDF во входе нет. Ле</t>
        </is>
      </c>
    </row>
    <row r="9">
      <c r="A9" s="7" t="inlineStr">
        <is>
          <t>Основит</t>
        </is>
      </c>
      <c r="B9" s="7" t="inlineStr">
        <is>
          <t>Цветные кладочные растворы</t>
        </is>
      </c>
      <c r="C9" s="7" t="inlineStr">
        <is>
          <t>да</t>
        </is>
      </c>
      <c r="D9" s="7" t="inlineStr">
        <is>
          <t>Основит Брикформ MC11/1</t>
        </is>
      </c>
      <c r="E9" s="7" t="inlineStr">
        <is>
          <t>Раствор кладочный зимний белый для облицовочного кирпича Основит Брикформ MC11/1 F 25 кг</t>
        </is>
      </c>
      <c r="F9" s="7" t="n">
        <v>3</v>
      </c>
      <c r="G9" s="7" t="inlineStr">
        <is>
          <t>предназначен для кладки стен и перегородок из облицовочного кирпича водопоглощением более 12% с возможностью расшивки швов в момент укладки при температуре окружающей среды и основания от -10 до + 10°С.</t>
        </is>
      </c>
      <c r="H9" s="7" t="inlineStr">
        <is>
          <t>Мешок 25кг</t>
        </is>
      </c>
      <c r="I9" s="7" t="inlineStr">
        <is>
          <t>50 кг</t>
        </is>
      </c>
      <c r="J9" s="7" t="inlineStr">
        <is>
          <t>5-15 мм</t>
        </is>
      </c>
      <c r="K9" s="7" t="inlineStr">
        <is>
          <t>G M100, ГОСТ Р 58272-2018</t>
        </is>
      </c>
      <c r="L9" s="7" t="inlineStr">
        <is>
          <t>есть</t>
        </is>
      </c>
      <c r="M9" s="7" t="inlineStr">
        <is>
          <t>34 цвета</t>
        </is>
      </c>
      <c r="N9" s="7" t="inlineStr">
        <is>
          <t>https://osnovit.ru/catalog/kladochnye-rastvory/kladochnyy-rastvor-osnovit-brikform-ms11-1-f/</t>
        </is>
      </c>
      <c r="O9" s="7" t="inlineStr">
        <is>
          <t>Зимняя модификация линии Брикформ MC11/1 (раздел «Цветные кладочные растворы»), но в зиме только белый цвет — тип masonry_colored выбран по линейке, можно считать и masonry_ordinary. Пересекается с сайтом «Цветные кладочные смеси». Расход 50 кг на 1 м² ложковой кладки. Описание «от -10 до + 10°С», характеристики «-10…+5 ºС». Строка «Прочность сцепления с основанием» на странице повторена дважды; о</t>
        </is>
      </c>
    </row>
    <row r="10">
      <c r="A10" s="7" t="inlineStr">
        <is>
          <t>Dauer</t>
        </is>
      </c>
      <c r="B10" s="7" t="inlineStr">
        <is>
          <t>Кладочные растворы: рядовые и белые/серые</t>
        </is>
      </c>
      <c r="C10" s="7" t="inlineStr">
        <is>
          <t>да</t>
        </is>
      </c>
      <c r="D10" s="7" t="inlineStr">
        <is>
          <t>Dauer BRICK.COLOR 253</t>
        </is>
      </c>
      <c r="E10" s="7" t="inlineStr">
        <is>
          <t>Dauer BRICK.COLOR 253 кладочная смесь для рядового кирпича</t>
        </is>
      </c>
      <c r="F10" s="7" t="n">
        <v>1</v>
      </c>
      <c r="G10" s="7" t="inlineStr">
        <is>
          <t>Предназначена для монтажа забутовочных кладочных элементов (полнотелый и пустотелый керамический кирпич, натуральный камень, рядовой керамический и плотный силикатный кирпич, кирпичи из бетона).</t>
        </is>
      </c>
      <c r="H10" s="7" t="inlineStr">
        <is>
          <t>3,25 – 3,75 литра воды на мешок 25 кг или 6,5 – 7,5 литров на мешок 50 кг</t>
        </is>
      </c>
      <c r="I10" s="7" t="inlineStr"/>
      <c r="J10" s="7" t="inlineStr">
        <is>
          <t>5-20 мм</t>
        </is>
      </c>
      <c r="K10" s="7" t="inlineStr">
        <is>
          <t>ГОСТ Р 58272</t>
        </is>
      </c>
      <c r="L10" s="7" t="inlineStr">
        <is>
          <t>есть</t>
        </is>
      </c>
      <c r="M10" s="7" t="inlineStr"/>
      <c r="N10" s="7" t="inlineStr">
        <is>
          <t>https://dauer.ru/catalog/montazhnye-i-kladochnye/dauer-brick-color-253/</t>
        </is>
      </c>
      <c r="O10" s="7" t="inlineStr">
        <is>
          <t>Сомнение в типе: линейка BRICK.COLOR, но H1 «кладочная смесь для рядового кирпича», назначение — забутовочная кладка, цвета не указаны → masonry_ordinary. Строки «Фасовка» нет: мешки 25 и 50 кг упомянуты только в приготовлении раствора. Расход раствора не указан. Есть зимняя версия (PDF «+ЗИМА»). Внутр./наруж. не указано, но шов описан как свето-, водо- и морозостойкий.</t>
        </is>
      </c>
    </row>
    <row r="11">
      <c r="A11" s="7" t="inlineStr">
        <is>
          <t>Основит</t>
        </is>
      </c>
      <c r="B11" s="7" t="inlineStr">
        <is>
          <t>Кладочные растворы: рядовые и белые/серые</t>
        </is>
      </c>
      <c r="C11" s="7" t="inlineStr">
        <is>
          <t>да</t>
        </is>
      </c>
      <c r="D11" s="7" t="inlineStr">
        <is>
          <t>Основит Рокформ MC110</t>
        </is>
      </c>
      <c r="E11" s="7" t="inlineStr">
        <is>
          <t>Раствор кладочный для рядового кирпича Основит Рокформ MC110 25 кг</t>
        </is>
      </c>
      <c r="F11" s="7" t="n">
        <v>3</v>
      </c>
      <c r="G11" s="7" t="inlineStr">
        <is>
          <t>Кладочный раствор ОСНОВИТ РОКФОРМ МС110 предназначен для забутовки и кладки стен из облицовочного и рядового кирпича.</t>
        </is>
      </c>
      <c r="H11" s="7" t="inlineStr">
        <is>
          <t>25 кг</t>
        </is>
      </c>
      <c r="I11" s="7" t="inlineStr">
        <is>
          <t>400-440 кг</t>
        </is>
      </c>
      <c r="J11" s="7" t="inlineStr">
        <is>
          <t>5-15 мм</t>
        </is>
      </c>
      <c r="K11" s="7" t="inlineStr">
        <is>
          <t>G M150, ГОСТ Р 58272-2018</t>
        </is>
      </c>
      <c r="L11" s="7" t="inlineStr">
        <is>
          <t>есть</t>
        </is>
      </c>
      <c r="M11" s="7" t="inlineStr">
        <is>
          <t>серый</t>
        </is>
      </c>
      <c r="N11" s="7" t="inlineStr">
        <is>
          <t>https://osnovit.ru/catalog/kladochnye-rastvory-osnovit/rokform-ms110-N/</t>
        </is>
      </c>
      <c r="O11" s="7" t="inlineStr">
        <is>
          <t>URL с суффиксом «-N», в title страницы «(25 кг) Н» — возможно, старая/дублирующая версия карточки Рокформ MC110 из другой пачки; сверить при склейке. ГОСТ/марка смеси на странице не указаны. Тип: серый кладочный для рядового и облицовочного кирпича (masonry_ordinary); можно спорить с masonry_universal_cps. Зимняя версия «Рокформ MC110 F» упоминается только в сопутствующих товарах других карточек.</t>
        </is>
      </c>
    </row>
    <row r="12">
      <c r="A12" s="7" t="inlineStr">
        <is>
          <t>Dauer</t>
        </is>
      </c>
      <c r="B12" s="7" t="inlineStr">
        <is>
          <t>Тёплые (теплоизоляционные) кладочные растворы</t>
        </is>
      </c>
      <c r="C12" s="7" t="inlineStr">
        <is>
          <t>да</t>
        </is>
      </c>
      <c r="D12" s="7" t="inlineStr">
        <is>
          <t>Dauer TEFIX LM</t>
        </is>
      </c>
      <c r="E12" s="7" t="inlineStr">
        <is>
          <t>Dauer TEFIX LM Кладочный раствор для теплой керамики</t>
        </is>
      </c>
      <c r="F12" s="7" t="n">
        <v>1</v>
      </c>
      <c r="G12" s="7" t="inlineStr">
        <is>
          <t>Предназначен для возведения несущих и ограждающих конструкций из «теплой» керамики, газобетона и легкого пустотелого кирпича, а также блоков из бетона на пористых заполнителях (керамзитобетон).</t>
        </is>
      </c>
      <c r="H12" s="7" t="inlineStr">
        <is>
          <t>20 кг.</t>
        </is>
      </c>
      <c r="I12" s="7" t="inlineStr">
        <is>
          <t>Расход раствора при слое шва 12 мм</t>
        </is>
      </c>
      <c r="J12" s="7" t="inlineStr">
        <is>
          <t>5-20 мм</t>
        </is>
      </c>
      <c r="K12" s="7" t="inlineStr">
        <is>
          <t>ГОСТ Р 58272</t>
        </is>
      </c>
      <c r="L12" s="7" t="inlineStr">
        <is>
          <t>есть</t>
        </is>
      </c>
      <c r="M12" s="7" t="inlineStr"/>
      <c r="N12" s="7" t="inlineStr">
        <is>
          <t>https://dauer.ru/catalog/montazhnye-i-kladochnye/tefix-lm-kladochnyy-rastvor/</t>
        </is>
      </c>
      <c r="O12" s="7" t="inlineStr">
        <is>
          <t>Полное наименование «Dauer Quader Tefix LM» (TEFIX — подлинейка QUADER). Содержит перлит и армирующие волокна. Расход при шве 12 мм таблицей (формат / толщина стены / на 1 м2 кладки / на 1 блок): 4,5 NF 8 см ~6 кг ~0,6 кг; 6,7 NF 12 см ~8 кг ~0,9 кг; 10,7 NF 38 см ~27 кг ~1,6 кг; 12,3 NF 44 см ~32 кг ~1,8 кг; 14,3 NF 51 см ~35 кг ~2,0 кг. Есть зимняя версия.</t>
        </is>
      </c>
    </row>
    <row r="13">
      <c r="A13" s="7" t="inlineStr">
        <is>
          <t>Dauer</t>
        </is>
      </c>
      <c r="B13" s="7" t="inlineStr">
        <is>
          <t>Тёплые (теплоизоляционные) кладочные растворы</t>
        </is>
      </c>
      <c r="C13" s="7" t="inlineStr">
        <is>
          <t>да</t>
        </is>
      </c>
      <c r="D13" s="7" t="inlineStr">
        <is>
          <t>Dauer TEFIX SM</t>
        </is>
      </c>
      <c r="E13" s="7" t="inlineStr">
        <is>
          <t>Dauer TEFIX SM Кладочный раствор теплоизоляционный</t>
        </is>
      </c>
      <c r="F13" s="7" t="n">
        <v>1</v>
      </c>
      <c r="G13" s="7" t="inlineStr">
        <is>
          <t>Предназначен для возведения несущих и ограждающих стен из поризованных керамических блоков, легких блоков из ячеистого бетона (в т.ч. пено- и газобетон), а также блоков из бетона на пористых заполнителях (керамзитобетон).</t>
        </is>
      </c>
      <c r="H13" s="7" t="inlineStr">
        <is>
          <t>25 кг.</t>
        </is>
      </c>
      <c r="I13" s="7" t="inlineStr">
        <is>
          <t>РАСХОД РАСТВОРА ПРИ СЛОЕ ШВА 12 мм</t>
        </is>
      </c>
      <c r="J13" s="7" t="inlineStr">
        <is>
          <t>5 - 20 мм</t>
        </is>
      </c>
      <c r="K13" s="7" t="inlineStr">
        <is>
          <t>ГОСТ Р 58272</t>
        </is>
      </c>
      <c r="L13" s="7" t="inlineStr">
        <is>
          <t>есть</t>
        </is>
      </c>
      <c r="M13" s="7" t="inlineStr"/>
      <c r="N13" s="7" t="inlineStr">
        <is>
          <t>https://dauer.ru/catalog/montazhnye-i-kladochnye/quader-tefix-sm/</t>
        </is>
      </c>
      <c r="O13" s="7" t="inlineStr">
        <is>
          <t>Полное наименование «Dauer Quader Tefix SM». Расхождение: фасовка 25 кг, а вода дана «на 30 кг смеси» (7,8 – 9,6л). Подвижность записана «150 + 10 мм» (у соседей «±»). Расход при шве 12 мм таблицей (на 1 м2 кладки / на 1 блок): 4,5 NF ~7 кг ~0,7 кг; 6,7 NF ~10 кг ~1,0 кг; 10,7 NF ~32 кг ~1,8 кг; 12,3 NF ~38 кг ~2,1 кг; 14,3 NF ~42 кг ~2,4 кг. Есть зимняя версия (срок годности 6 месяцев).</t>
        </is>
      </c>
    </row>
    <row r="14">
      <c r="A14" s="7" t="inlineStr">
        <is>
          <t>Dauer</t>
        </is>
      </c>
      <c r="B14" s="7" t="inlineStr">
        <is>
          <t>Тёплые (теплоизоляционные) кладочные растворы</t>
        </is>
      </c>
      <c r="C14" s="7" t="inlineStr">
        <is>
          <t>да</t>
        </is>
      </c>
      <c r="D14" s="7" t="inlineStr">
        <is>
          <t>Dauer TEFIX SW</t>
        </is>
      </c>
      <c r="E14" s="7" t="inlineStr">
        <is>
          <t>Dauer TEFIX SW Кладочный раствор для теплой керамики</t>
        </is>
      </c>
      <c r="F14" s="7" t="n">
        <v>1</v>
      </c>
      <c r="G14" s="7" t="inlineStr">
        <is>
          <t>Предназначен для возведения несущих и ограждающих конструкций из «теплой» керамики, газобетона и легкого пустотелого кирпича, а также блоков из бетона на пористых заполнителях (керамзитобетон).</t>
        </is>
      </c>
      <c r="H14" s="7" t="inlineStr">
        <is>
          <t>17,5 кг.</t>
        </is>
      </c>
      <c r="I14" s="7" t="inlineStr"/>
      <c r="J14" s="7" t="inlineStr">
        <is>
          <t>5-20 мм</t>
        </is>
      </c>
      <c r="K14" s="7" t="inlineStr">
        <is>
          <t>ГОСТ Р 58272</t>
        </is>
      </c>
      <c r="L14" s="7" t="inlineStr">
        <is>
          <t>есть</t>
        </is>
      </c>
      <c r="M14" s="7" t="inlineStr"/>
      <c r="N14" s="7" t="inlineStr">
        <is>
          <t>https://dauer.ru/catalog/montazhnye-i-kladochnye/tefix-sw/</t>
        </is>
      </c>
      <c r="O14" s="7" t="inlineStr">
        <is>
          <t>Полное наименование «Dauer Quader Tefix SW». Фасовка 17,5 кг; «Выход до 34 л.*» — «*Максимальный показатель полученный в лабораторных условиях»; плотность 800 кг/м3 (самая лёгкая из TEFIX). Таблицы расхода нет. Есть зимняя версия.</t>
        </is>
      </c>
    </row>
    <row r="15">
      <c r="A15" s="7" t="inlineStr">
        <is>
          <t>Perel</t>
        </is>
      </c>
      <c r="B15" s="7" t="inlineStr">
        <is>
          <t>Тёплые (теплоизоляционные) кладочные растворы</t>
        </is>
      </c>
      <c r="C15" s="7" t="inlineStr">
        <is>
          <t>да</t>
        </is>
      </c>
      <c r="D15" s="7" t="inlineStr">
        <is>
          <t>Perel TKS 2020</t>
        </is>
      </c>
      <c r="E15" s="7" t="inlineStr">
        <is>
          <t>Теплая кладочная смесь Perel TKS 2020, 25 кг</t>
        </is>
      </c>
      <c r="F15" s="7" t="n">
        <v>1</v>
      </c>
      <c r="G15" s="7" t="inlineStr">
        <is>
          <t>Теплая смесь Perel TKS 2020 (усиленная) применяется в качестве раствора для кладки теплых блоков, таких как крупноформатные поризованные керамические блоки, поризованные керамические камни, арболит и т.п..</t>
        </is>
      </c>
      <c r="H15" s="7" t="inlineStr">
        <is>
          <t>Бумажные крафт-мешки: 25 кг</t>
        </is>
      </c>
      <c r="I15" s="7" t="inlineStr"/>
      <c r="J15" s="7" t="inlineStr"/>
      <c r="K15" s="7" t="inlineStr"/>
      <c r="L15" s="7" t="inlineStr">
        <is>
          <t>—</t>
        </is>
      </c>
      <c r="M15" s="7" t="inlineStr"/>
      <c r="N15" s="7" t="inlineStr">
        <is>
          <t>https://td-perel.ru/catalog/teplaya-kladochnaya-smes/teplaya-kladochnaya-smes-2020/</t>
        </is>
      </c>
      <c r="O15" s="7" t="inlineStr">
        <is>
          <t>Короткое описание упоминает арболит, полное — нет. «Выход раствора 1,0 – 1,1 л/кг» — это выход, не расход, поэтому consumption пуст. Нанесение по СП 70.13330.2012 (свод правил на кладку, не стандарт продукта — в normative не ставил). Зимней модификации на карточке нет. В конце ядра служебные строки «SEOTEG01 / arbolit».</t>
        </is>
      </c>
    </row>
    <row r="16">
      <c r="A16" s="7" t="inlineStr">
        <is>
          <t>Perel</t>
        </is>
      </c>
      <c r="B16" s="7" t="inlineStr">
        <is>
          <t>Тёплые (теплоизоляционные) кладочные растворы</t>
        </is>
      </c>
      <c r="C16" s="7" t="inlineStr">
        <is>
          <t>да</t>
        </is>
      </c>
      <c r="D16" s="7" t="inlineStr">
        <is>
          <t>Perel TKS 6020</t>
        </is>
      </c>
      <c r="E16" s="7" t="inlineStr">
        <is>
          <t>Теплая кладочная смесь Perel TKS 6020, 20 кг</t>
        </is>
      </c>
      <c r="F16" s="7" t="n">
        <v>1</v>
      </c>
      <c r="G16" s="7" t="inlineStr">
        <is>
          <t>Теплая смесь Perel TKS 6020 (экономичная) применяется в качестве раствора для каменной и (или) кирпичной кладки материалов с повышенными теплоизоляционными свойствами, таких как крупноформатные поризованные керамические блоки, поризованные керамические камни.</t>
        </is>
      </c>
      <c r="H16" s="7" t="inlineStr">
        <is>
          <t>Бумажные крафт-мешки: 20 кг</t>
        </is>
      </c>
      <c r="I16" s="7" t="inlineStr"/>
      <c r="J16" s="7" t="inlineStr"/>
      <c r="K16" s="7" t="inlineStr"/>
      <c r="L16" s="7" t="inlineStr">
        <is>
          <t>—</t>
        </is>
      </c>
      <c r="M16" s="7" t="inlineStr"/>
      <c r="N16" s="7" t="inlineStr">
        <is>
          <t>https://td-perel.ru/catalog/teplaya-kladochnaya-smes/teplaya-kladochnaya-smes-20208216/</t>
        </is>
      </c>
      <c r="O16" s="7" t="inlineStr">
        <is>
          <t>Раздел «Описание» пуст, назначение — в коротком описании. Выход 1,3 - 1,4 л/кг (не расход). Нанесение по СП 70.13330.2012. Зимней модификации на карточке нет.</t>
        </is>
      </c>
    </row>
    <row r="17">
      <c r="A17" s="7" t="inlineStr">
        <is>
          <t>Perel</t>
        </is>
      </c>
      <c r="B17" s="7" t="inlineStr">
        <is>
          <t>Тёплые (теплоизоляционные) кладочные растворы</t>
        </is>
      </c>
      <c r="C17" s="7" t="inlineStr">
        <is>
          <t>да</t>
        </is>
      </c>
      <c r="D17" s="7" t="inlineStr">
        <is>
          <t>Perel TKS 8020</t>
        </is>
      </c>
      <c r="E17" s="7" t="inlineStr">
        <is>
          <t>Теплая кладочная смесь Perel TKS 8020, 17.5 кг</t>
        </is>
      </c>
      <c r="F17" s="7" t="n">
        <v>1</v>
      </c>
      <c r="G17" s="7" t="inlineStr">
        <is>
          <t>Применяется для исключения мостиков холода при кладке теплых блоков (керамические крупноформатные блоки и т.п.)</t>
        </is>
      </c>
      <c r="H17" s="7" t="inlineStr">
        <is>
          <t>Бумажные крафт-мешки: 17,5 кг</t>
        </is>
      </c>
      <c r="I17" s="7" t="inlineStr">
        <is>
          <t>Расход сухой смеси на 1 блок (кг)
51 - (510×250×219 мм)
1,4 - 1,5
44 - (440×250×219 мм)
1,2 - 1,3
38 - (380×250×219 мм)
1 - 1,1
30 - (250×300×219 мм)
0.8 - 0,9
25 - (250×380×219 мм)
1 - 1,1
12 - (120×500×219 мм)
0,6 - 0,7</t>
        </is>
      </c>
      <c r="J17" s="7" t="inlineStr"/>
      <c r="K17" s="7" t="inlineStr"/>
      <c r="L17" s="7" t="inlineStr">
        <is>
          <t>есть</t>
        </is>
      </c>
      <c r="M17" s="7" t="inlineStr"/>
      <c r="N17" s="7" t="inlineStr">
        <is>
          <t>https://td-perel.ru/catalog/teplaya-kladochnaya-smes/perel-tks-8020/</t>
        </is>
      </c>
      <c r="O17" s="7" t="inlineStr">
        <is>
          <t>Есть зимняя модификация: «8520 – «зима»», 17.5 кг, «от -5 °С до +10 °С» (лето 8020 — от +5 °С до +30 °С). Теплопроводность в преимуществах «&lt; 0,17 Вт/м*К», в характеристиках «0,17 Вт/м∙°С». Выход «26 - 28 л» без «/кг» (видимо на мешок). В названии «17.5 кг» (точка), в тексте «17,5 кг». В таблице расхода опечатка «0.8 - 0,9». Расход дан на 1 блок по форматам (multi-line цитата таблицы).</t>
        </is>
      </c>
    </row>
    <row r="18">
      <c r="A18" s="7" t="inlineStr">
        <is>
          <t>Основит</t>
        </is>
      </c>
      <c r="B18" s="7" t="inlineStr">
        <is>
          <t>Тёплые (теплоизоляционные) кладочные растворы</t>
        </is>
      </c>
      <c r="C18" s="7" t="inlineStr">
        <is>
          <t>да</t>
        </is>
      </c>
      <c r="D18" s="7" t="inlineStr">
        <is>
          <t>Основит Путформ MC114</t>
        </is>
      </c>
      <c r="E18" s="7" t="inlineStr">
        <is>
          <t>Раствор кладочный теплоизоляционный зимний Основит Путформ MC114 F 20 кг</t>
        </is>
      </c>
      <c r="F18" s="7" t="n">
        <v>4</v>
      </c>
      <c r="G18" s="7" t="inlineStr">
        <is>
          <t>Теплоизоляционный кладочный раствор ОСНОВИТ ПУТФОРМ МС114 F зимний предназначен для кладки стен из лёгких пустотелых керамических блоков, блоков из бетона на пористых заполнителях при температуре окружающей среды и основания от -10 до + 10°С.</t>
        </is>
      </c>
      <c r="H18" s="7" t="inlineStr">
        <is>
          <t>Мешок 20кг</t>
        </is>
      </c>
      <c r="I18" s="7" t="inlineStr">
        <is>
          <t>Размер блока
Расход смеси
(готовый р-р), л
Расход смеси
(сухая смесь), кг
510x250x219
2,3
2,0
440x250x219
2,2
1,9
380x250x219
1,95
1,7</t>
        </is>
      </c>
      <c r="J18" s="7" t="inlineStr">
        <is>
          <t>Рекомендуемая толщина шва кладки
5-15 мм</t>
        </is>
      </c>
      <c r="K18" s="7" t="inlineStr">
        <is>
          <t>L M50, ГОСТ Р 58272-2018</t>
        </is>
      </c>
      <c r="L18" s="7" t="inlineStr">
        <is>
          <t>есть</t>
        </is>
      </c>
      <c r="M18" s="7" t="inlineStr">
        <is>
          <t>серый</t>
        </is>
      </c>
      <c r="N18" s="7" t="inlineStr">
        <is>
          <t>https://osnovit.ru/catalog/kladochnye-rastvory/putform-mc114-f-zimniy-teploizolyatsionnyy-kladochnyy-rastvor/</t>
        </is>
      </c>
      <c r="O18" s="7" t="inlineStr">
        <is>
          <t>Зимняя модификация MC114 (летняя — карточка MC114 в этой пачке). Оговорка: возможна фасовка в мешок «ПУТФОРМ МС114» со стикером «зимний». Значения температур записаны небрежно («-50°С…+65°», «- 10°С…+10° ºС»). Срок хранения 6 месяцев (у летней 12/24).</t>
        </is>
      </c>
    </row>
    <row r="19">
      <c r="A19" s="7" t="inlineStr">
        <is>
          <t>Основит</t>
        </is>
      </c>
      <c r="B19" s="7" t="inlineStr">
        <is>
          <t>Тёплые (теплоизоляционные) кладочные растворы</t>
        </is>
      </c>
      <c r="C19" s="7" t="inlineStr">
        <is>
          <t>да</t>
        </is>
      </c>
      <c r="D19" s="7" t="inlineStr">
        <is>
          <t>Основит Путформ MC114 L</t>
        </is>
      </c>
      <c r="E19" s="7" t="inlineStr">
        <is>
          <t>Раствор кладочный теплоизоляционный высокоэффективный Основит Путформ MC114 L 20 кг</t>
        </is>
      </c>
      <c r="F19" s="7" t="n">
        <v>1</v>
      </c>
      <c r="G19" s="7" t="inlineStr">
        <is>
          <t>Высокоэффективный теплоизоляционный кладочный раствор ОСНОВИТ ПУТФОРМ MC114 L предназначен для кладки стен из материалов с повышенными теплоизоляционными свойствами, а именно из лёгких пустотелых керамических блоков и блоков из бетона на пористых заполнителях.</t>
        </is>
      </c>
      <c r="H19" s="7" t="inlineStr">
        <is>
          <t>Вес упаковки
20 кг</t>
        </is>
      </c>
      <c r="I19" s="7" t="inlineStr">
        <is>
          <t>Размер блока
Расход смеси
(готовый р-р), л
Расход смеси
(сухая смесь), кг
510x250x219
2,3
1,6
440x250x219
2,2
1,5
380x250x219
1,95
1,3</t>
        </is>
      </c>
      <c r="J19" s="7" t="inlineStr">
        <is>
          <t>Рекомендуемая толщина шва кладки
5-15 мм</t>
        </is>
      </c>
      <c r="K19" s="7" t="inlineStr">
        <is>
          <t>L M50, ГОСТ Р 58272-2018</t>
        </is>
      </c>
      <c r="L19" s="7" t="inlineStr">
        <is>
          <t>—</t>
        </is>
      </c>
      <c r="M19" s="7" t="inlineStr">
        <is>
          <t>серый</t>
        </is>
      </c>
      <c r="N19" s="7" t="inlineStr">
        <is>
          <t>https://osnovit.ru/catalog/kladochnye-rastvory/osnovit-putform-mc114-l-vysokoeffektivnyy-teploizolyatsionnyy-/</t>
        </is>
      </c>
      <c r="O19" s="7" t="inlineStr">
        <is>
          <t>Отдельная модель «L» (высокоэффективная: ниже теплопроводность 0,18-0.20, плотность 800-900, выход 28-30 л) — вынесена в свой series_key, хотя по линейке это модификация MC114; при склейке решить, держать ли отдельной позицией. В значении теплопроводности смешаны запятая и точка («0,18-0.20»). Зимней версии MC114 L в тексте нет.</t>
        </is>
      </c>
    </row>
    <row r="20">
      <c r="A20" s="7" t="inlineStr">
        <is>
          <t>Основит</t>
        </is>
      </c>
      <c r="B20" s="7" t="inlineStr">
        <is>
          <t>Расшивка швов кирпичной кладки</t>
        </is>
      </c>
      <c r="C20" s="7" t="inlineStr">
        <is>
          <t>да</t>
        </is>
      </c>
      <c r="D20" s="7" t="inlineStr">
        <is>
          <t>Основит Бриксэйв XC30</t>
        </is>
      </c>
      <c r="E20" s="7" t="inlineStr">
        <is>
          <t>Раствор цветной для расшивки швов Основит Бриксэйв XC30 20 кг</t>
        </is>
      </c>
      <c r="F20" s="7" t="n">
        <v>1</v>
      </c>
      <c r="G20" s="7" t="inlineStr">
        <is>
          <t>Раствор для расшивки швов ОСНОВИТ БРИКСЭЙВ ХС30 предназначен для отделки швов:</t>
        </is>
      </c>
      <c r="H20" s="7" t="inlineStr">
        <is>
          <t>20 кг</t>
        </is>
      </c>
      <c r="I20" s="7" t="inlineStr">
        <is>
          <t>5,0</t>
        </is>
      </c>
      <c r="J20" s="7" t="inlineStr">
        <is>
          <t>5-30 мм</t>
        </is>
      </c>
      <c r="K20" s="7" t="inlineStr"/>
      <c r="L20" s="7" t="inlineStr">
        <is>
          <t>—</t>
        </is>
      </c>
      <c r="M20" s="7" t="inlineStr">
        <is>
          <t>22 цвета</t>
        </is>
      </c>
      <c r="N20" s="7" t="inlineStr">
        <is>
          <t>https://osnovit.ru/catalog/rasshivki/brikseyv-xc30/</t>
        </is>
      </c>
      <c r="O20" s="7" t="inlineStr">
        <is>
          <t>consumption_quote «5,0» — кг на 1 м² кладки (кирпич 250x120x65) при глубине и ширине шва 10 мм (подпись разбита на строки). В преимуществах «22 цветовых решений», в характеристиках «22 цвета». Пометка «Колеровка» у заголовка. Пересекается с сайтом «Цветные кладочные смеси» (цветная расшивка). Документы «Описание», «Техническая карта» — без ссылок во входе.</t>
        </is>
      </c>
    </row>
    <row r="21">
      <c r="A21" s="7" t="inlineStr">
        <is>
          <t>Dauer</t>
        </is>
      </c>
      <c r="B21" s="7" t="inlineStr">
        <is>
          <t>Клей для блоков и газобетона</t>
        </is>
      </c>
      <c r="C21" s="7" t="inlineStr">
        <is>
          <t>да</t>
        </is>
      </c>
      <c r="D21" s="7" t="inlineStr">
        <is>
          <t>Dauer QUADER D600</t>
        </is>
      </c>
      <c r="E21" s="7" t="inlineStr">
        <is>
          <t>Dauer QUADER D600 клей для блоков усиленный</t>
        </is>
      </c>
      <c r="F21" s="7" t="n">
        <v>1</v>
      </c>
      <c r="G21" s="7" t="inlineStr">
        <is>
          <t>Для возведения стен и перегородок из блоков на основе газо- и пенобетона, силикатного пенобетона, полистиролбетона и других ячеистых блоков.</t>
        </is>
      </c>
      <c r="H21" s="7" t="inlineStr">
        <is>
          <t>25 кг, 40 кг</t>
        </is>
      </c>
      <c r="I21" s="7" t="inlineStr">
        <is>
          <t>Расход раствора при слое шва 2 мм</t>
        </is>
      </c>
      <c r="J21" s="7" t="inlineStr">
        <is>
          <t>2-5 мм</t>
        </is>
      </c>
      <c r="K21" s="7" t="inlineStr">
        <is>
          <t>ГОСТ Р 58272</t>
        </is>
      </c>
      <c r="L21" s="7" t="inlineStr">
        <is>
          <t>есть</t>
        </is>
      </c>
      <c r="M21" s="7" t="inlineStr"/>
      <c r="N21" s="7" t="inlineStr">
        <is>
          <t>https://dauer.ru/catalog/montazhnye-i-kladochnye/block-d600-kley-montazhnyy/</t>
        </is>
      </c>
      <c r="O21" s="7" t="inlineStr">
        <is>
          <t>Полное наименование «Dauer Quader Блок (Block) D600». Расход — таблицей при шве 2 мм, «Количество на 1 м 3» кладки по формату блока: 15–19 кг (первые 4 пары characteristics — формат блока → кг на 1 м3). Зимняя версия — до -10 °С / -15 °С «в зависимости от версии продукта». Документ назван «Клей монтажный тонкошовный (лето и зима)».</t>
        </is>
      </c>
    </row>
    <row r="22">
      <c r="A22" s="7" t="inlineStr">
        <is>
          <t>Perel</t>
        </is>
      </c>
      <c r="B22" s="7" t="inlineStr">
        <is>
          <t>Клей для блоков и газобетона</t>
        </is>
      </c>
      <c r="C22" s="7" t="inlineStr">
        <is>
          <t>да</t>
        </is>
      </c>
      <c r="D22" s="7" t="inlineStr">
        <is>
          <t>Perel Blokus</t>
        </is>
      </c>
      <c r="E22" s="7" t="inlineStr">
        <is>
          <t>Perel Blokus 25 кг, серый</t>
        </is>
      </c>
      <c r="F22" s="7" t="n">
        <v>4</v>
      </c>
      <c r="G22" s="7" t="inlineStr">
        <is>
          <t>Для кладки блоков и плит из ячеистого бетона, пенобетона, газосиликата и газобетона и т.п.. Исключает появление «мостиков холода» в швах кладки блоков благодаря тонкослойному кладочному шву 2-5 мм.</t>
        </is>
      </c>
      <c r="H22" s="7" t="inlineStr">
        <is>
          <t>Бумажные крафт-мешки - 25 кг.</t>
        </is>
      </c>
      <c r="I22" s="7" t="inlineStr">
        <is>
          <t>8-9 кг/м 2 стандартного блока 600*200*300 при слое кладки 5 мм.</t>
        </is>
      </c>
      <c r="J22" s="7" t="inlineStr">
        <is>
          <t>благодаря тонкослойному кладочному шву 2-5 мм</t>
        </is>
      </c>
      <c r="K22" s="7" t="inlineStr"/>
      <c r="L22" s="7" t="inlineStr">
        <is>
          <t>—</t>
        </is>
      </c>
      <c r="M22" s="7" t="inlineStr"/>
      <c r="N22" s="7" t="inlineStr">
        <is>
          <t>https://td-perel.ru/catalog/montazhnyy-kley/perel_blokus_25_kg_seryy/</t>
        </is>
      </c>
      <c r="O22" s="7" t="inlineStr">
        <is>
          <t>Тот же продукт, что Blokus 40 кг серый (0340) и белые Blokus 0332/0334 — характеристики одинаковые. Морозостойкость на карточке F50 (на подборке белого клея заявлено F100). ГОСТ на карточке нет; «для внутренних и наружных работ» есть только на подборке kley-gaz. Пара «Коэффициент паропроницаемости» на странице есть, в characteristics не вошла.</t>
        </is>
      </c>
    </row>
    <row r="23">
      <c r="A23" s="7" t="inlineStr">
        <is>
          <t>Основит</t>
        </is>
      </c>
      <c r="B23" s="7" t="inlineStr">
        <is>
          <t>Клей для блоков и газобетона</t>
        </is>
      </c>
      <c r="C23" s="7" t="inlineStr">
        <is>
          <t>да</t>
        </is>
      </c>
      <c r="D23" s="7" t="inlineStr">
        <is>
          <t>Основит PRO Клей для блоков</t>
        </is>
      </c>
      <c r="E23" s="7" t="inlineStr">
        <is>
          <t>Клей для блоков Основит PRO</t>
        </is>
      </c>
      <c r="F23" s="7" t="n">
        <v>1</v>
      </c>
      <c r="G23" s="7" t="inlineStr">
        <is>
          <t>Клей для блоков ОСНОВИТ PRO используется в тонкослойной кладке стен и перегородок. Предназначен для пазовых и беспазовых блоков и плит на основе ячеистого бетона (пено- и газобетон), газосиликата и силиката.</t>
        </is>
      </c>
      <c r="H23" s="7" t="inlineStr">
        <is>
          <t>20 кг</t>
        </is>
      </c>
      <c r="I23" s="7" t="inlineStr">
        <is>
          <t>1,3 кг/м²</t>
        </is>
      </c>
      <c r="J23" s="7" t="inlineStr">
        <is>
          <t>Для тонкого шва от 2 до 5 мм</t>
        </is>
      </c>
      <c r="K23" s="7" t="inlineStr"/>
      <c r="L23" s="7" t="inlineStr">
        <is>
          <t>—</t>
        </is>
      </c>
      <c r="M23" s="7" t="inlineStr"/>
      <c r="N23" s="7" t="inlineStr">
        <is>
          <t>https://osnovit.ru/catalog/osnovit-pro/kley-dlya-blokov-osnovit-pro/</t>
        </is>
      </c>
      <c r="O23" s="7" t="inlineStr">
        <is>
          <t>Сухость — из характеристики «Расход воды на 1 кг сухой смеси» (фразы «смесь сухая» нет). Основа (цемент) не названа. Есть таблица расхода по размерам блоков (напр. 625*250*150: 0,75 кг на блок, 8 кг на м² стены, 32 кг на м³). ГОСТ не указан. Нет pdf во входе.</t>
        </is>
      </c>
    </row>
    <row r="24">
      <c r="A24" s="7" t="inlineStr">
        <is>
          <t>Основит</t>
        </is>
      </c>
      <c r="B24" s="7" t="inlineStr">
        <is>
          <t>Клей для блоков и газобетона</t>
        </is>
      </c>
      <c r="C24" s="7" t="inlineStr">
        <is>
          <t>да</t>
        </is>
      </c>
      <c r="D24" s="7" t="inlineStr">
        <is>
          <t>Основит Селформ MC112</t>
        </is>
      </c>
      <c r="E24" s="7" t="inlineStr">
        <is>
          <t>Клей монтажный зимний Основит Селформ MC112 F 20 кг</t>
        </is>
      </c>
      <c r="F24" s="7" t="n">
        <v>2</v>
      </c>
      <c r="G24" s="7" t="inlineStr">
        <is>
          <t>ОСНОВИТ СЕЛФОРМ MC112 F зимний клей монтажный предназначен для кладки стен и перегородок из блоков и плит на основе ячеистого бетона (пено- и газобетон), газосиликата и силиката при температуре окружающей среды и основания от -10 до + 10°С .</t>
        </is>
      </c>
      <c r="H24" s="7" t="inlineStr">
        <is>
          <t>Вес упаковки
20 кг</t>
        </is>
      </c>
      <c r="I24" s="7" t="inlineStr">
        <is>
          <t>Расход смеси на 1 м 3 блоков (блоки из ячеистых бетонов 20*30*60 см, шов 3 мм)
26 кг</t>
        </is>
      </c>
      <c r="J24" s="7" t="inlineStr">
        <is>
          <t>Рекомендуемая толщина слоя
1-5 мм</t>
        </is>
      </c>
      <c r="K24" s="7" t="inlineStr">
        <is>
          <t>Т M100, ГОСТ Р 58272-2018</t>
        </is>
      </c>
      <c r="L24" s="7" t="inlineStr">
        <is>
          <t>есть</t>
        </is>
      </c>
      <c r="M24" s="7" t="inlineStr">
        <is>
          <t>серый</t>
        </is>
      </c>
      <c r="N24" s="7" t="inlineStr">
        <is>
          <t>https://osnovit.ru/catalog/montazhnye-klei/selform-mc-112-f/</t>
        </is>
      </c>
      <c r="O24" s="7" t="inlineStr">
        <is>
          <t>Зимняя модификация MC112. Оговорка: возможна фасовка в мешок «СЕЛФОРМ МС112» со стикером «зимний». Расход дан «на 1м² блоков … 8 кг», у летней — «на 1 м 3 блоков … 26 кг» (разная база, не сравнивать напрямую). Строка «Температура эксплуатации» повторена дважды в разной записи. Срок хранения 6 месяцев.</t>
        </is>
      </c>
    </row>
    <row r="25">
      <c r="A25" s="7" t="inlineStr">
        <is>
          <t>Основит</t>
        </is>
      </c>
      <c r="B25" s="7" t="inlineStr">
        <is>
          <t>Клей для блоков и газобетона</t>
        </is>
      </c>
      <c r="C25" s="7" t="inlineStr">
        <is>
          <t>да</t>
        </is>
      </c>
      <c r="D25" s="7" t="inlineStr">
        <is>
          <t>Основит Техно MC112</t>
        </is>
      </c>
      <c r="E25" s="7" t="inlineStr">
        <is>
          <t>Клей монтажный зимний Основит Техно MC112 F 40 кг</t>
        </is>
      </c>
      <c r="F25" s="7" t="n">
        <v>2</v>
      </c>
      <c r="G25" s="7" t="inlineStr">
        <is>
          <t>Клей монтажный ОСНОВИТ ТЕХНО MC112 F предназначен для кладки стен и перегородок из блоков и плит на основе ячеистого бетона (пено- и газобетон), газосиликата и силиката при температуре окружающей среды и основания от -10 до + 10°С.</t>
        </is>
      </c>
      <c r="H25" s="7" t="inlineStr">
        <is>
          <t>40 кг</t>
        </is>
      </c>
      <c r="I25" s="7" t="inlineStr">
        <is>
          <t>26 кг</t>
        </is>
      </c>
      <c r="J25" s="7" t="inlineStr">
        <is>
          <t>2-5 мм</t>
        </is>
      </c>
      <c r="K25" s="7" t="inlineStr">
        <is>
          <t>Т M100, ГОСТ Р 58272-2018</t>
        </is>
      </c>
      <c r="L25" s="7" t="inlineStr">
        <is>
          <t>есть</t>
        </is>
      </c>
      <c r="M25" s="7" t="inlineStr"/>
      <c r="N25" s="7" t="inlineStr">
        <is>
          <t>https://osnovit.ru/catalog/montazhnye-klei/kley-montazhnyy-osnovit-tekhno-mc112-f-zimniy/</t>
        </is>
      </c>
      <c r="O25" s="7" t="inlineStr">
        <is>
          <t>Зимняя модификация Техно MC112. Марка/ГОСТ на карточке не указаны (у летнего — «Т M100, ГОСТ Р 58272-2018»), сухость — по «Расход воды на 1 кг сухой смеси». Расход 26 кг на 1 м3 и 8 кг на 1 м2 (блоки 20*30*60 см, шов 3 мм) — названия разорваны переносом, взяты фрагменты. Срок хранения 12 мес. (бумажный) / 24 мес. (пластиковый мешок). Бейджа «Зима» на странице нет. На карточке Брикформ MC11/1 F сос</t>
        </is>
      </c>
    </row>
    <row r="26">
      <c r="A26" s="7" t="inlineStr">
        <is>
          <t>Perel</t>
        </is>
      </c>
      <c r="B26" s="7" t="inlineStr">
        <is>
          <t>Гипсовый монтажный клей (ГКЛ, ПГП)</t>
        </is>
      </c>
      <c r="C26" s="7" t="inlineStr">
        <is>
          <t>да</t>
        </is>
      </c>
      <c r="D26" s="7" t="inlineStr">
        <is>
          <t>Perel Gipsel</t>
        </is>
      </c>
      <c r="E26" s="7" t="inlineStr">
        <is>
          <t>Perel Gipsel, 30 кг, серый, гипсовый клей</t>
        </is>
      </c>
      <c r="F26" s="7" t="n">
        <v>2</v>
      </c>
      <c r="G26" s="7" t="inlineStr">
        <is>
          <t>Сухая монтажная смесь на основе гипсового вяжущего, минеральных и полимерных добавок для монтажа перегородок из гипсовых пазогребневых плит, крепления гипсовых элементов, для бескаркасного монтажа гипсокартонных и гипсоволокнистых листов (ГКЛ, ГВЛ), листов теплоизоляции к вертикальным внутри помещений с нормальной влажностью</t>
        </is>
      </c>
      <c r="H26" s="7" t="inlineStr">
        <is>
          <t>Бумажные крафт-мешки по 30 кг.</t>
        </is>
      </c>
      <c r="I26" s="7" t="inlineStr"/>
      <c r="J26" s="7" t="inlineStr">
        <is>
          <t>Толщина вертикальных и горизонтальных швов должна быть не более 2 мм.</t>
        </is>
      </c>
      <c r="K26" s="7" t="inlineStr"/>
      <c r="L26" s="7" t="inlineStr">
        <is>
          <t>—</t>
        </is>
      </c>
      <c r="M26" s="7" t="inlineStr"/>
      <c r="N26" s="7" t="inlineStr">
        <is>
          <t>https://td-perel.ru/catalog/montazhnyy-kley/gipsovyy-kley-perel-gipsel/</t>
        </is>
      </c>
      <c r="O26" s="7" t="inlineStr">
        <is>
          <t>Описание совпадает с Gipsel белый (0331); в характеристиках только артикул и цвет (у белого ещё температура, адгезия 0,3 МПа, открытое время 5 мин). Расход не указан.</t>
        </is>
      </c>
    </row>
    <row r="27">
      <c r="A27" s="7" t="inlineStr">
        <is>
          <t>Основит</t>
        </is>
      </c>
      <c r="B27" s="7" t="inlineStr">
        <is>
          <t>Гипсовый монтажный клей (ГКЛ, ПГП)</t>
        </is>
      </c>
      <c r="C27" s="7" t="inlineStr">
        <is>
          <t>да</t>
        </is>
      </c>
      <c r="D27" s="7" t="inlineStr">
        <is>
          <t>Основит PRO клей гипсовый монтажный</t>
        </is>
      </c>
      <c r="E27" s="7" t="inlineStr">
        <is>
          <t>Клей гипсовый монтажный Основит PRO 20 кг</t>
        </is>
      </c>
      <c r="F27" s="7" t="n">
        <v>1</v>
      </c>
      <c r="G27" s="7" t="inlineStr">
        <is>
          <t>Клей монтажный гипсовый ОСНОВИТ PRO Предназначен для монтажа перегородок из пазогребневых плит, ремонта пазогребневых плит, крепления гипсовых элементов декора и отделки, для бескаркасного монтажа гипсокартонных и гипсоволокнистых листов (ГКЛ и ГВЛ), приклеивания теплоизоляционных материалов.</t>
        </is>
      </c>
      <c r="H27" s="7" t="inlineStr">
        <is>
          <t>Вес упаковки
20 кг</t>
        </is>
      </c>
      <c r="I27" s="7" t="inlineStr">
        <is>
          <t>Расход сухой смеси при монтаже ПГП на 1 м2
1,5-2 кг</t>
        </is>
      </c>
      <c r="J27" s="7" t="inlineStr">
        <is>
          <t>Рекомендуемая толщина слоя при монтаже ПГП
2-3 мм</t>
        </is>
      </c>
      <c r="K27" s="7" t="inlineStr">
        <is>
          <t>Т M100, ГОСТ Р 58272-2018</t>
        </is>
      </c>
      <c r="L27" s="7" t="inlineStr">
        <is>
          <t>—</t>
        </is>
      </c>
      <c r="M27" s="7" t="inlineStr">
        <is>
          <t>серый</t>
        </is>
      </c>
      <c r="N27" s="7" t="inlineStr">
        <is>
          <t>https://osnovit.ru/catalog/osnovit-pro/kley-montazhnyy-gipsovyy-osnovit-pro/</t>
        </is>
      </c>
      <c r="O27" s="7" t="inlineStr">
        <is>
          <t>Странность: для гипсового клея указана классификация кладочной смеси «Т M100, ГОСТ Р 58272-2018». Без кода модели — ключ по линейке PRO. Цвет «серый». Расход воды без единиц («0,43-0,45»). Карточка в разделах «Монтажные клеи» и «Основит PRO».</t>
        </is>
      </c>
    </row>
    <row r="28">
      <c r="A28" s="7" t="inlineStr">
        <is>
          <t>Dauer</t>
        </is>
      </c>
      <c r="B28" s="7" t="inlineStr">
        <is>
          <t>Цементно-песчаные смеси М150–М400, пескобетон</t>
        </is>
      </c>
      <c r="C28" s="7" t="inlineStr">
        <is>
          <t>да</t>
        </is>
      </c>
      <c r="D28" s="7" t="inlineStr">
        <is>
          <t>Dauer М-150 Универсальная</t>
        </is>
      </c>
      <c r="E28" s="7" t="inlineStr">
        <is>
          <t>Dauer® Сухая смесь М-150 Универсальная</t>
        </is>
      </c>
      <c r="F28" s="7" t="n">
        <v>1</v>
      </c>
      <c r="G28" s="7" t="inlineStr">
        <is>
          <t>Сухая смесь универсальная предназначена для возведения стен и перегородок из кирпича и мелкоштучных элементов, для работ по заделке полостей, выбоин и трещин, производства различных монтажных и штукатурных работ, а также для укладки тротуарной плитки.</t>
        </is>
      </c>
      <c r="H28" s="7" t="inlineStr">
        <is>
          <t>30 кг, 40 кг, 50 кг</t>
        </is>
      </c>
      <c r="I28" s="7" t="inlineStr">
        <is>
          <t>19 кг/м²</t>
        </is>
      </c>
      <c r="J28" s="7" t="inlineStr">
        <is>
          <t>Толщина горизонтальных швов кладки – 10 -15 мм, вертикальных – 8 -10 мм.</t>
        </is>
      </c>
      <c r="K28" s="7" t="inlineStr">
        <is>
          <t>ГОСТ 28013-98</t>
        </is>
      </c>
      <c r="L28" s="7" t="inlineStr">
        <is>
          <t>есть</t>
        </is>
      </c>
      <c r="M28" s="7" t="inlineStr"/>
      <c r="N28" s="7" t="inlineStr">
        <is>
          <t>https://dauer.ru/catalog/tsementno-peschanye-smesi/sukhaya_smes_m_150_universalnaya/</t>
        </is>
      </c>
      <c r="O28" s="7" t="inlineStr">
        <is>
          <t>Универсальная ЦПС М150: кладка, монтаж, штукатурка, тротуарная плитка. base_quote — название раздела каталога, своей фразы об основе на странице нет. Зимние модификации -10/-15°С (на сайте значение «от * °С до +30 °С»). Расхождение: в «Тип основания» прочность не менее 10 МПа, в подготовке основания — не менее 15 МПа. Расход 19 кг/м² указан на слой 10 мм.</t>
        </is>
      </c>
    </row>
    <row r="29">
      <c r="A29" s="7" t="inlineStr">
        <is>
          <t>Dauer</t>
        </is>
      </c>
      <c r="B29" s="7" t="inlineStr">
        <is>
          <t>Цементно-песчаные смеси М150–М400, пескобетон</t>
        </is>
      </c>
      <c r="C29" s="7" t="inlineStr">
        <is>
          <t>да</t>
        </is>
      </c>
      <c r="D29" s="7" t="inlineStr">
        <is>
          <t>Dauer М-150 Штукатурная</t>
        </is>
      </c>
      <c r="E29" s="7" t="inlineStr">
        <is>
          <t>Dauer® Сухая смесь М-150 Штукатурная</t>
        </is>
      </c>
      <c r="F29" s="7" t="n">
        <v>1</v>
      </c>
      <c r="G29" s="7" t="inlineStr">
        <is>
          <t>Сухая смесь штукатурная предназначена для оштукатуривания стен из бетона, кирпича, камня.</t>
        </is>
      </c>
      <c r="H29" s="7" t="inlineStr">
        <is>
          <t>на 1 мешок 50 кг</t>
        </is>
      </c>
      <c r="I29" s="7" t="inlineStr">
        <is>
          <t>19 кг/м²</t>
        </is>
      </c>
      <c r="J29" s="7" t="inlineStr">
        <is>
          <t>10 – 30 мм</t>
        </is>
      </c>
      <c r="K29" s="7" t="inlineStr">
        <is>
          <t>ГОСТ 28013-98</t>
        </is>
      </c>
      <c r="L29" s="7" t="inlineStr">
        <is>
          <t>есть</t>
        </is>
      </c>
      <c r="M29" s="7" t="inlineStr"/>
      <c r="N29" s="7" t="inlineStr">
        <is>
          <t>https://dauer.ru/catalog/tsementno-peschanye-smesi/sukhaya_smes_m_150_shtukaturnaya/</t>
        </is>
      </c>
      <c r="O29" s="7" t="inlineStr">
        <is>
          <t xml:space="preserve">Сомнение в типе: по составу это ЦПС М150 (masonry_universal_cps, раздел «Цементно-песчаные смеси»), по назначению — только штукатурка (plaster_cement). В характеристиках фасовки нет; «на 1 мешок 50 кг» взято из раздела «Выполнение работ». Расхождение по слою: в характеристиках 10–30 мм, в разделе работ «слоем 20 - 50 мм». Расход 19 кг/м² указан на слой 10 мм. Зимняя версия есть (температура «от * </t>
        </is>
      </c>
    </row>
    <row r="30">
      <c r="A30" s="7" t="inlineStr">
        <is>
          <t>Dauer</t>
        </is>
      </c>
      <c r="B30" s="7" t="inlineStr">
        <is>
          <t>Цементно-песчаные смеси М150–М400, пескобетон</t>
        </is>
      </c>
      <c r="C30" s="7" t="inlineStr">
        <is>
          <t>да</t>
        </is>
      </c>
      <c r="D30" s="7" t="inlineStr">
        <is>
          <t>Dauer М-200 Монтажно-кладочная</t>
        </is>
      </c>
      <c r="E30" s="7" t="inlineStr">
        <is>
          <t>Dauer® Сухая смесь М-200 Монтажно-кладочная</t>
        </is>
      </c>
      <c r="F30" s="7" t="n">
        <v>1</v>
      </c>
      <c r="G30" s="7" t="inlineStr">
        <is>
          <t>Сухая смесь монтажно-кладочная предназначена для выполнения общестроительных работ: устройство "мокрых" стяжек; заделка швов, трещин, выбоин, углублений; возведение стен и конструкций из полнотелого рядового кирпича, полнотелых бетонных блоков и природного камня.</t>
        </is>
      </c>
      <c r="H30" s="7" t="inlineStr">
        <is>
          <t>на 1 мешок 50 кг</t>
        </is>
      </c>
      <c r="I30" s="7" t="inlineStr">
        <is>
          <t>20 кг/м²</t>
        </is>
      </c>
      <c r="J30" s="7" t="inlineStr">
        <is>
          <t>Толщина горизонтальных швов кладки – 10-15 мм, вертикальных – 8-10 мм.</t>
        </is>
      </c>
      <c r="K30" s="7" t="inlineStr">
        <is>
          <t>ГОСТ 28013-98</t>
        </is>
      </c>
      <c r="L30" s="7" t="inlineStr">
        <is>
          <t>есть</t>
        </is>
      </c>
      <c r="M30" s="7" t="inlineStr"/>
      <c r="N30" s="7" t="inlineStr">
        <is>
          <t>https://dauer.ru/catalog/tsementno-peschanye-smesi/sukhaya_smes_m_200_montazhno_kladochnaya/</t>
        </is>
      </c>
      <c r="O30" s="7" t="inlineStr">
        <is>
          <t>В характеристиках фасовки нет; «на 1 мешок 50 кг» взято из раздела работ. Фразы «для наружных/внутренних работ» нет. Стяжка по разделу работ — слоем 30-80 мм. Зимние модификации -5/-10/-15°С (значение «от * °С»). Расход 20 кг/м² указан на слой 10 мм.</t>
        </is>
      </c>
    </row>
    <row r="31">
      <c r="A31" s="7" t="inlineStr">
        <is>
          <t>Dauer</t>
        </is>
      </c>
      <c r="B31" s="7" t="inlineStr">
        <is>
          <t>Цементно-песчаные смеси М150–М400, пескобетон</t>
        </is>
      </c>
      <c r="C31" s="7" t="inlineStr">
        <is>
          <t>да</t>
        </is>
      </c>
      <c r="D31" s="7" t="inlineStr">
        <is>
          <t>Dauer М-300 Пескобетон</t>
        </is>
      </c>
      <c r="E31" s="7" t="inlineStr">
        <is>
          <t>Dauer® Сухая смесь М-300 Пескобетон</t>
        </is>
      </c>
      <c r="F31" s="7" t="n">
        <v>1</v>
      </c>
      <c r="G31" s="7" t="inlineStr">
        <is>
          <t>Сухая смесь пескобетон предназначена для выполнения общестроительных работ: устройство высокопрочных стяжек ("мокрого" типа); заделка швов, трещин, выбоин, углублений; крепление металлических элементов и монтаж железобетонных конструкций; возведение стен и конструкций из полнотелого рядового кирпича, полнотелых бетонных блоков и природного камня.</t>
        </is>
      </c>
      <c r="H31" s="7" t="inlineStr">
        <is>
          <t>30 кг, 40 кг, 50 кг</t>
        </is>
      </c>
      <c r="I31" s="7" t="inlineStr">
        <is>
          <t>20 кг/м²</t>
        </is>
      </c>
      <c r="J31" s="7" t="inlineStr">
        <is>
          <t>Толщина слоя нанесения составляет 30-200 мм</t>
        </is>
      </c>
      <c r="K31" s="7" t="inlineStr">
        <is>
          <t>ГОСТ 28013-98</t>
        </is>
      </c>
      <c r="L31" s="7" t="inlineStr">
        <is>
          <t>есть</t>
        </is>
      </c>
      <c r="M31" s="7" t="inlineStr"/>
      <c r="N31" s="7" t="inlineStr">
        <is>
          <t>https://dauer.ru/catalog/tsementno-peschanye-smesi/sukhaya_smes_m_300_peskobeton/</t>
        </is>
      </c>
      <c r="O31" s="7" t="inlineStr">
        <is>
          <t>Пескобетон М300. Можно отнести и к floor_screed (основное применение — стяжки), но по классификатору оставлен в ЦПС. С щебнем 5–20 мм в соотношении 1:2 даёт бетонную смесь. Фразы «для наружных/внутренних работ» нет. Зимние модификации -10/-15°С. Расход 20 кг/м² указан на слой 10 мм.</t>
        </is>
      </c>
    </row>
    <row r="32">
      <c r="A32" s="7" t="inlineStr">
        <is>
          <t>Dauer</t>
        </is>
      </c>
      <c r="B32" s="7" t="inlineStr">
        <is>
          <t>Цементно-песчаные смеси М150–М400, пескобетон</t>
        </is>
      </c>
      <c r="C32" s="7" t="inlineStr">
        <is>
          <t>да</t>
        </is>
      </c>
      <c r="D32" s="7" t="inlineStr">
        <is>
          <t>Dauer М-400 Пескобетон высокопрочный</t>
        </is>
      </c>
      <c r="E32" s="7" t="inlineStr">
        <is>
          <t>Dauer® Сухая смесь М-400 Пескобетон высокопрочный</t>
        </is>
      </c>
      <c r="F32" s="7" t="n">
        <v>1</v>
      </c>
      <c r="G32" s="7" t="inlineStr">
        <is>
          <t>Сухая смесь пескобетон предназначена для выполнения общестроительных работ: устройство высокопрочных стяжек ("мокрого" типа); заделка швов, трещин, выбоин, углублений; крепление металлических элементов и монтаж железобетонных конструкций; возведение стен и конструкций из полнотелого рядового кирпича, полнотелых бетонных блоков и природного камня.</t>
        </is>
      </c>
      <c r="H32" s="7" t="inlineStr">
        <is>
          <t>40 кг</t>
        </is>
      </c>
      <c r="I32" s="7" t="inlineStr">
        <is>
          <t>20 кг/м²</t>
        </is>
      </c>
      <c r="J32" s="7" t="inlineStr">
        <is>
          <t>слоем 30-70 мм</t>
        </is>
      </c>
      <c r="K32" s="7" t="inlineStr">
        <is>
          <t>ГОСТ 28013-98</t>
        </is>
      </c>
      <c r="L32" s="7" t="inlineStr">
        <is>
          <t>есть</t>
        </is>
      </c>
      <c r="M32" s="7" t="inlineStr"/>
      <c r="N32" s="7" t="inlineStr">
        <is>
          <t>https://dauer.ru/catalog/tsementno-peschanye-smesi/sukhaya-smes-m-400-peskobeton-vysokoprochnyy/</t>
        </is>
      </c>
      <c r="O32" s="7" t="inlineStr">
        <is>
          <t>Описание назначения слово в слово совпадает с М-300; отличия — марка М400 и фасовка (только 40 кг). В разделе работ: стяжка слоем 30-70 мм, отмостка, мощение, заполнение швов. Фразы «для наружных/внутренних работ» нет. Расход 20 кг/м² указан на слой 10 мм.</t>
        </is>
      </c>
    </row>
    <row r="33">
      <c r="A33" s="7" t="inlineStr">
        <is>
          <t>Perel</t>
        </is>
      </c>
      <c r="B33" s="7" t="inlineStr">
        <is>
          <t>Цементно-песчаные смеси М150–М400, пескобетон</t>
        </is>
      </c>
      <c r="C33" s="7" t="inlineStr">
        <is>
          <t>да</t>
        </is>
      </c>
      <c r="D33" s="7" t="inlineStr">
        <is>
          <t>Perel М-150 Базовый</t>
        </is>
      </c>
      <c r="E33" s="7" t="inlineStr">
        <is>
          <t>М-150 Базовый, 50 кг</t>
        </is>
      </c>
      <c r="F33" s="7" t="n">
        <v>1</v>
      </c>
      <c r="G33" s="7" t="inlineStr">
        <is>
          <t>Цементно-песчаная смесь с пластифицирующими добавками. Рекомендуется для выполнения кладочных работ рядовым кирпичом.</t>
        </is>
      </c>
      <c r="H33" s="7" t="inlineStr">
        <is>
          <t>Бумажные крафт-мешки по 50 кг.</t>
        </is>
      </c>
      <c r="I33" s="7" t="inlineStr"/>
      <c r="J33" s="7" t="inlineStr"/>
      <c r="K33" s="7" t="inlineStr"/>
      <c r="L33" s="7" t="inlineStr">
        <is>
          <t>есть</t>
        </is>
      </c>
      <c r="M33" s="7" t="inlineStr"/>
      <c r="N33" s="7" t="inlineStr">
        <is>
          <t>https://td-perel.ru/catalog/universalnye-smesi/m-150-bazovyy/</t>
        </is>
      </c>
      <c r="O33" s="7" t="inlineStr">
        <is>
          <t>Марка М150 — только в названии; характеристик (прочность, расход) нет, артикул «-». Упомянута модификация «зима» без отдельного артикула. Бренд Perel в названии не стоит (упомянута грунтовка «PEREL»). В инструкции фраза про «поверхности пола» — похоже, текст скопирован с другой карточки. Нанесение по СП 70.13330.2012.</t>
        </is>
      </c>
    </row>
    <row r="34">
      <c r="A34" s="7" t="inlineStr">
        <is>
          <t>Perel</t>
        </is>
      </c>
      <c r="B34" s="7" t="inlineStr">
        <is>
          <t>Цементно-песчаные смеси М150–М400, пескобетон</t>
        </is>
      </c>
      <c r="C34" s="7" t="inlineStr">
        <is>
          <t>да</t>
        </is>
      </c>
      <c r="D34" s="7" t="inlineStr">
        <is>
          <t>Perel М-150 Универсальный</t>
        </is>
      </c>
      <c r="E34" s="7" t="inlineStr">
        <is>
          <t>М-150 Универсальный, 40 кг</t>
        </is>
      </c>
      <c r="F34" s="7" t="n">
        <v>1</v>
      </c>
      <c r="G34" s="7" t="inlineStr">
        <is>
          <t>Применяется для штукатурно-кладочных работ.</t>
        </is>
      </c>
      <c r="H34" s="7" t="inlineStr">
        <is>
          <t>Бумажные крафт-мешки по 40 кг.</t>
        </is>
      </c>
      <c r="I34" s="7" t="inlineStr"/>
      <c r="J34" s="7" t="inlineStr"/>
      <c r="K34" s="7" t="inlineStr">
        <is>
          <t>СП 70.13330.2012</t>
        </is>
      </c>
      <c r="L34" s="7" t="inlineStr">
        <is>
          <t>есть</t>
        </is>
      </c>
      <c r="M34" s="7" t="inlineStr"/>
      <c r="N34" s="7" t="inlineStr">
        <is>
          <t>https://td-perel.ru/catalog/universalnye-smesi/m-150-universalnyy/</t>
        </is>
      </c>
      <c r="O34" s="7" t="inlineStr">
        <is>
          <t>Блок «Характеристики» на странице пуст (только Артикул «-»); пары кроме артикула взяты из описания. Расход и толщина слоя не указаны. Зимняя версия упомянута в тексте («с модификацией «зима»»), отдельной карточки в пачке нет. СП 70.13330.2012 — свод правил на производство работ, а не стандарт на смесь. Описание шире краткого: «Применяется для выравнивания поверхностей по минеральным основаниям (бе</t>
        </is>
      </c>
    </row>
    <row r="35">
      <c r="A35" s="7" t="inlineStr">
        <is>
          <t>Perel</t>
        </is>
      </c>
      <c r="B35" s="7" t="inlineStr">
        <is>
          <t>Цементно-песчаные смеси М150–М400, пескобетон</t>
        </is>
      </c>
      <c r="C35" s="7" t="inlineStr">
        <is>
          <t>да</t>
        </is>
      </c>
      <c r="D35" s="7" t="inlineStr">
        <is>
          <t>Perel М-300 Пескобетон</t>
        </is>
      </c>
      <c r="E35" s="7" t="inlineStr">
        <is>
          <t>М-300, 50 кг</t>
        </is>
      </c>
      <c r="F35" s="7" t="n">
        <v>1</v>
      </c>
      <c r="G35" s="7" t="inlineStr">
        <is>
          <t>Сухая строительная смесь Пескобетон М 300 применяется как мелкозернистый бетон для заливки фундаментов, изготовления высокопрочных бетонных стяжек различной толщины, в качестве несущего слоя полов, при обустройстве жилых, общественных и производственных помещений, гаражей, зон повышенного потока людей, при монтажно-кладочных работах, для возведения и ремонта бетонных стен и оснований.</t>
        </is>
      </c>
      <c r="H35" s="7" t="inlineStr">
        <is>
          <t>Бумажные крафт-мешки по 50 кг.</t>
        </is>
      </c>
      <c r="I35" s="7" t="inlineStr"/>
      <c r="J35" s="7" t="inlineStr">
        <is>
          <t>Минимальная толщина слоя 25мм.</t>
        </is>
      </c>
      <c r="K35" s="7" t="inlineStr"/>
      <c r="L35" s="7" t="inlineStr">
        <is>
          <t>есть</t>
        </is>
      </c>
      <c r="M35" s="7" t="inlineStr"/>
      <c r="N35" s="7" t="inlineStr">
        <is>
          <t>https://td-perel.ru/catalog/universalnye-smesi/m-300/</t>
        </is>
      </c>
      <c r="O35" s="7" t="inlineStr">
        <is>
          <t>Пескобетон; лежит в разделе «Универсальные смеси», по тексту в основном стяжка и фундамент (подошёл бы и floor_screed), выбран masonry_universal_cps как пескобетон. Название на странице «М-300, 50 кг», в тексте «Пескобетон М300» и «Пескобетон М 300» (разное написание). Блок «Характеристики» пуст (Артикул «-»), пары взяты из описания. Расход не указан. Основа явно не названа. Зимняя модификация упо</t>
        </is>
      </c>
    </row>
    <row r="36">
      <c r="A36" s="7" t="inlineStr">
        <is>
          <t>Dauer</t>
        </is>
      </c>
      <c r="B36" s="7" t="inlineStr">
        <is>
          <t>Штукатурки гипсовые</t>
        </is>
      </c>
      <c r="C36" s="7" t="inlineStr">
        <is>
          <t>да</t>
        </is>
      </c>
      <c r="D36" s="7" t="inlineStr">
        <is>
          <t>Dauer SLIDER 36</t>
        </is>
      </c>
      <c r="E36" s="7" t="inlineStr">
        <is>
          <t>Dauer SLIDER® 36 Штукатурка гипсовая универсальная серая</t>
        </is>
      </c>
      <c r="F36" s="7" t="n">
        <v>2</v>
      </c>
      <c r="G36" s="7" t="inlineStr">
        <is>
          <t>Для машинного и ручного выравнивания стен: сплошного (от 5 до 50 мм) и частичного при локальном выравнивании (до 60 мм), выравнивания потолков (до 10 мм) – внутри помещений с умеренной влажностью под последующую отделку (финишное тонкослойное шпатлевание, оклейку обоями, многослойное окрашивание).</t>
        </is>
      </c>
      <c r="H36" s="7" t="inlineStr">
        <is>
          <t>30 кг.</t>
        </is>
      </c>
      <c r="I36" s="7" t="inlineStr">
        <is>
          <t>9 – 10 кг/м²</t>
        </is>
      </c>
      <c r="J36" s="7" t="inlineStr">
        <is>
          <t>сплошного (от 5 до 50 мм)</t>
        </is>
      </c>
      <c r="K36" s="7" t="inlineStr">
        <is>
          <t>ГОСТ Р 58279</t>
        </is>
      </c>
      <c r="L36" s="7" t="inlineStr">
        <is>
          <t>—</t>
        </is>
      </c>
      <c r="M36" s="7" t="inlineStr"/>
      <c r="N36" s="7" t="inlineStr">
        <is>
          <t>https://dauer.ru/catalog/shtukaturki/slider-36/</t>
        </is>
      </c>
      <c r="O36" s="7" t="inlineStr">
        <is>
          <t>Серая; белая версия — SLIDER 36W, у неё тот же series_key. Расход 9–10 кг/м² указан на слой 10 мм. Декларация РОСС RU (кода товара в имени файла нет) не включена. Полное наименование «Dauer Slider Интерьер (Interier) 36».</t>
        </is>
      </c>
    </row>
    <row r="37">
      <c r="A37" s="7" t="inlineStr">
        <is>
          <t>Dauer</t>
        </is>
      </c>
      <c r="B37" s="7" t="inlineStr">
        <is>
          <t>Штукатурки гипсовые</t>
        </is>
      </c>
      <c r="C37" s="7" t="inlineStr">
        <is>
          <t>да</t>
        </is>
      </c>
      <c r="D37" s="7" t="inlineStr">
        <is>
          <t>Dauer SLIDER 37</t>
        </is>
      </c>
      <c r="E37" s="7" t="inlineStr">
        <is>
          <t>Dauer SLIDER® 37 Штукатурка гипсовая теплая армированная</t>
        </is>
      </c>
      <c r="F37" s="7" t="n">
        <v>2</v>
      </c>
      <c r="G37" s="7" t="inlineStr">
        <is>
          <t>Для машинного и ручного выравнивания стен: сплошного (от 3 до 50 мм) и частичного, при локальном выравнивании (до 80 мм), для выравнивания потолков (до 30 мм), внутри помещений с умеренной влажностью под последующую отделку (финишное тонкослойное шпатлевание, оклейку обоями, многослойное окрашивание).</t>
        </is>
      </c>
      <c r="H37" s="7" t="inlineStr">
        <is>
          <t>30 кг.</t>
        </is>
      </c>
      <c r="I37" s="7" t="inlineStr">
        <is>
          <t>0,8 кг/м²</t>
        </is>
      </c>
      <c r="J37" s="7" t="inlineStr">
        <is>
          <t>сплошного (от 3 до 50 мм)</t>
        </is>
      </c>
      <c r="K37" s="7" t="inlineStr">
        <is>
          <t>ГОСТ Р 58279-2024</t>
        </is>
      </c>
      <c r="L37" s="7" t="inlineStr">
        <is>
          <t>—</t>
        </is>
      </c>
      <c r="M37" s="7" t="inlineStr"/>
      <c r="N37" s="7" t="inlineStr">
        <is>
          <t>https://dauer.ru/catalog/shtukaturki/slider-37/</t>
        </is>
      </c>
      <c r="O37" s="7" t="inlineStr">
        <is>
          <t>«Тёплая армированная» гипсовая штукатурка, не кладочный раствор. Техкарта подписана «…с перлитом». В особенностях опечатка сайта «Идеальное качество без шатлевания». Расход 0,8 кг/м² указан на слой 1 мм. Белая версия — 37W, у неё тот же series_key. Полное наименование «Dauer Slider Интерьер (Interier) 37».</t>
        </is>
      </c>
    </row>
    <row r="38">
      <c r="A38" s="7" t="inlineStr">
        <is>
          <t>Dauer</t>
        </is>
      </c>
      <c r="B38" s="7" t="inlineStr">
        <is>
          <t>Штукатурки гипсовые</t>
        </is>
      </c>
      <c r="C38" s="7" t="inlineStr">
        <is>
          <t>да</t>
        </is>
      </c>
      <c r="D38" s="7" t="inlineStr">
        <is>
          <t>Dauer SLIDER 38</t>
        </is>
      </c>
      <c r="E38" s="7" t="inlineStr">
        <is>
          <t>Dauer SLIDER® 38 Штукатурка гипсовая легкая с перлитом</t>
        </is>
      </c>
      <c r="F38" s="7" t="n">
        <v>2</v>
      </c>
      <c r="G38" s="7" t="inlineStr">
        <is>
          <t>Для машинного и ручного выравнивания стен: сплошного (от 3 до 50 мм) и частичного, при локальном выравнивании (до 80 мм), для выравнивания потолков (до 30 мм), внутри помещений с умеренной влажностью под последующую отделку (шпатлевание, оклейку обоями, многослойное окрашивание).</t>
        </is>
      </c>
      <c r="H38" s="7" t="inlineStr">
        <is>
          <t>30 кг.</t>
        </is>
      </c>
      <c r="I38" s="7" t="inlineStr">
        <is>
          <t>0,8 кг/м²</t>
        </is>
      </c>
      <c r="J38" s="7" t="inlineStr">
        <is>
          <t>сплошного (от 3 до 50 мм)</t>
        </is>
      </c>
      <c r="K38" s="7" t="inlineStr">
        <is>
          <t>ГОСТ Р 58279-2024</t>
        </is>
      </c>
      <c r="L38" s="7" t="inlineStr">
        <is>
          <t>—</t>
        </is>
      </c>
      <c r="M38" s="7" t="inlineStr"/>
      <c r="N38" s="7" t="inlineStr">
        <is>
          <t>https://dauer.ru/catalog/shtukaturki/slider-38/</t>
        </is>
      </c>
      <c r="O38" s="7" t="inlineStr">
        <is>
          <t>Расхождение: в описании сплошной слой от 3 до 50 мм, в характеристиках «Толщина слоя при сплошном нанесении 5-50 мм». Расход 0,8 кг/м² указан на слой 1 мм. Белая версия — 38W, у неё тот же series_key. Полное наименование «Dauer Slider Интерьер (Interier) 38».</t>
        </is>
      </c>
    </row>
    <row r="39">
      <c r="A39" s="7" t="inlineStr">
        <is>
          <t>Dauer</t>
        </is>
      </c>
      <c r="B39" s="7" t="inlineStr">
        <is>
          <t>Штукатурки гипсовые</t>
        </is>
      </c>
      <c r="C39" s="7" t="inlineStr">
        <is>
          <t>да</t>
        </is>
      </c>
      <c r="D39" s="7" t="inlineStr">
        <is>
          <t>Dauer SLIDER 39</t>
        </is>
      </c>
      <c r="E39" s="7" t="inlineStr">
        <is>
          <t>Dauer SLIDER® 39 Штукатурка гипсовая универсальная влагостойкая</t>
        </is>
      </c>
      <c r="F39" s="7" t="n">
        <v>1</v>
      </c>
      <c r="G39" s="7" t="inlineStr">
        <is>
          <t>Для машинного и ручного выравнивания стен: сплошного (от 5 до 50 мм) и частичного при локальном выравнивании (до 80 мм), для выравнивания потолков (до 20 мм), внутри помещений с нормальной и повышенной влажностью под последующую отделку: финишное тонкослойное шпатлевание, оклейку обоями, многослойное окрашивание, облицовку керамической плиткой малого формата (размер грани не более 30 см) с тщательной затиркой межплиточных швов.</t>
        </is>
      </c>
      <c r="H39" s="7" t="inlineStr">
        <is>
          <t>30 кг.</t>
        </is>
      </c>
      <c r="I39" s="7" t="inlineStr">
        <is>
          <t>10 – 11 кг/м²</t>
        </is>
      </c>
      <c r="J39" s="7" t="inlineStr">
        <is>
          <t>сплошного (от 5 до 50 мм)</t>
        </is>
      </c>
      <c r="K39" s="7" t="inlineStr">
        <is>
          <t>ГОСТ Р 58279</t>
        </is>
      </c>
      <c r="L39" s="7" t="inlineStr">
        <is>
          <t>—</t>
        </is>
      </c>
      <c r="M39" s="7" t="inlineStr"/>
      <c r="N39" s="7" t="inlineStr">
        <is>
          <t>https://dauer.ru/catalog/shtukaturki/slider-39/</t>
        </is>
      </c>
      <c r="O39" s="7" t="inlineStr">
        <is>
          <t>Влагостойкая гипсовая. Расхождение по воде: в характеристиках 0,30–0,35 л на 1 кг, в разделе «Выполнение работ» 0,25–0,28 л (7,5–8,5 л на мешок 30 кг). Ссылка в документах подписана «DAUER SLIDER 312 Штукатурка цементная мелкофракционная гладкая» — похоже на ошибку сайта. Есть «Рекомендательное письмо SLIDER INTERIER 39». Расход 10–11 кг/м² указан на слой 10 мм.</t>
        </is>
      </c>
    </row>
    <row r="40">
      <c r="A40" s="7" t="inlineStr">
        <is>
          <t>Perel</t>
        </is>
      </c>
      <c r="B40" s="7" t="inlineStr">
        <is>
          <t>Штукатурки гипсовые</t>
        </is>
      </c>
      <c r="C40" s="7" t="inlineStr">
        <is>
          <t>да</t>
        </is>
      </c>
      <c r="D40" s="7" t="inlineStr">
        <is>
          <t>Perel Plast</t>
        </is>
      </c>
      <c r="E40" s="7" t="inlineStr">
        <is>
          <t>Perel Plast, 30 кг, белая, пластичная гипсовая штукатурка с увеличенным временем жизни</t>
        </is>
      </c>
      <c r="F40" s="7" t="n">
        <v>1</v>
      </c>
      <c r="G40" s="7" t="inlineStr">
        <is>
          <t>Пластичная гипсовая штукатурная смесь на основе природного гипса, минерального наполнителя и полимерных добавок, для выравнивания стен (до 50 мм) из бетона, газобетона, кирпича и каменных поверхностей ручным способом, внутри жилых и общественных сухих помещений с нормальным уровнем температуры и влажности.</t>
        </is>
      </c>
      <c r="H40" s="7" t="inlineStr">
        <is>
          <t>Бумажные крафт-мешки по 30 кг.</t>
        </is>
      </c>
      <c r="I40" s="7" t="inlineStr"/>
      <c r="J40" s="7" t="inlineStr">
        <is>
          <t>Рекомендуемый слой нанесения составляет 5-50мм за один проход.</t>
        </is>
      </c>
      <c r="K40" s="7" t="inlineStr"/>
      <c r="L40" s="7" t="inlineStr">
        <is>
          <t>—</t>
        </is>
      </c>
      <c r="M40" s="7" t="inlineStr"/>
      <c r="N40" s="7" t="inlineStr">
        <is>
          <t>https://td-perel.ru/catalog/gipsovaya-shtukaturka/gipsovaya-shtukaturka-plastichnaya-perel-plast-belaya-30-kg/</t>
        </is>
      </c>
      <c r="O40" s="7" t="inlineStr">
        <is>
          <t>Расхождение: лид «Для ручного или машинного нанесения», описание — «ручным способом». Расход не указан. Срок хранения 6 месяцев. Есть раздел «Видеообзоры» (в полном тексте только заголовок). В «Характеристиках» только артикул.</t>
        </is>
      </c>
    </row>
    <row r="41">
      <c r="A41" s="7" t="inlineStr">
        <is>
          <t>Perel</t>
        </is>
      </c>
      <c r="B41" s="7" t="inlineStr">
        <is>
          <t>Штукатурки гипсовые</t>
        </is>
      </c>
      <c r="C41" s="7" t="inlineStr">
        <is>
          <t>да</t>
        </is>
      </c>
      <c r="D41" s="7" t="inlineStr">
        <is>
          <t>Perel TeploPlast</t>
        </is>
      </c>
      <c r="E41" s="7" t="inlineStr">
        <is>
          <t>Perel TeploPlast, 30 кг, белая, облегченная гипсовая штукатурка с перлитом</t>
        </is>
      </c>
      <c r="F41" s="7" t="n">
        <v>1</v>
      </c>
      <c r="G41" s="7" t="inlineStr">
        <is>
          <t>Экологически чистая штукатурная смесь повышающая звуко- и теплоизоляцию на основе природного гипса с использованием легкого минерального наполнителя (перлита) и специальных химических добавок, для выравнивания значительных перепадов потолков и стен из бетона, газобетона, кирпича и каменных поверхностей ручным способом, внутри жилых и общественных сухих помещений с нормальным уровнем влажности.</t>
        </is>
      </c>
      <c r="H41" s="7" t="inlineStr">
        <is>
          <t>Бумажные крафт-мешки по 30 кг.</t>
        </is>
      </c>
      <c r="I41" s="7" t="inlineStr"/>
      <c r="J41" s="7" t="inlineStr">
        <is>
          <t>Рекомендуемый слой нанесения составляет 5-50мм за один проход.</t>
        </is>
      </c>
      <c r="K41" s="7" t="inlineStr"/>
      <c r="L41" s="7" t="inlineStr">
        <is>
          <t>—</t>
        </is>
      </c>
      <c r="M41" s="7" t="inlineStr"/>
      <c r="N41" s="7" t="inlineStr">
        <is>
          <t>https://td-perel.ru/catalog/gipsovaya-shtukaturka/gipsovaya-shtukaturka-oblegchennaya-perel-teploplast-belaya-30kg/</t>
        </is>
      </c>
      <c r="O41" s="7" t="inlineStr">
        <is>
          <t>Расход не указан. Воды 12,9–13,8 л на мешок 30 кг (у Perel Plast 8–9 л) — для перлитовой смеси возможно, но число стоит сверить с техлистом. Срок хранения 6 месяцев. В «Характеристиках» только артикул.</t>
        </is>
      </c>
    </row>
    <row r="42">
      <c r="A42" s="7" t="inlineStr">
        <is>
          <t>Основит</t>
        </is>
      </c>
      <c r="B42" s="7" t="inlineStr">
        <is>
          <t>Штукатурки гипсовые</t>
        </is>
      </c>
      <c r="C42" s="7" t="inlineStr">
        <is>
          <t>да</t>
        </is>
      </c>
      <c r="D42" s="7" t="inlineStr">
        <is>
          <t>Основит PRO Штукатурка гипсовая универсальная</t>
        </is>
      </c>
      <c r="E42" s="7" t="inlineStr">
        <is>
          <t>Штукатурка гипсовая универсальная белая Основит PRO 30 кг</t>
        </is>
      </c>
      <c r="F42" s="7" t="n">
        <v>1</v>
      </c>
      <c r="G42" s="7" t="inlineStr">
        <is>
          <t>Гипсовая штукатурка ОСНОВИТ PRO предназначена для выравнивания стен и потолков в помещениях с нормальной влажностью.</t>
        </is>
      </c>
      <c r="H42" s="7" t="inlineStr">
        <is>
          <t>30 кг</t>
        </is>
      </c>
      <c r="I42" s="7" t="inlineStr">
        <is>
          <t>9-10 кг/м²</t>
        </is>
      </c>
      <c r="J42" s="7" t="inlineStr">
        <is>
          <t>3-30мм</t>
        </is>
      </c>
      <c r="K42" s="7" t="inlineStr">
        <is>
          <t>90/3,0, ГОСТ Р 58279-2018</t>
        </is>
      </c>
      <c r="L42" s="7" t="inlineStr">
        <is>
          <t>—</t>
        </is>
      </c>
      <c r="M42" s="7" t="inlineStr">
        <is>
          <t>Белый цвет</t>
        </is>
      </c>
      <c r="N42" s="7" t="inlineStr">
        <is>
          <t>https://osnovit.ru/catalog/osnovit-pro/shtukaturka-gipsovaya-uni-pro/</t>
        </is>
      </c>
      <c r="O42" s="7" t="inlineStr">
        <is>
          <t>В преимуществах «Экономичный расход 9 кг на 1 квадратный метр», в характеристиках «9-10 кг/м²» при слое 10 мм. Раздел «Документация» пуст (тех. карты нет). Блок «С этим материалом применяется» пуст. Нет pdf во входе.</t>
        </is>
      </c>
    </row>
    <row r="43">
      <c r="A43" s="7" t="inlineStr">
        <is>
          <t>Основит</t>
        </is>
      </c>
      <c r="B43" s="7" t="inlineStr">
        <is>
          <t>Штукатурки гипсовые</t>
        </is>
      </c>
      <c r="C43" s="7" t="inlineStr">
        <is>
          <t>да</t>
        </is>
      </c>
      <c r="D43" s="7" t="inlineStr">
        <is>
          <t>Основит Гипсвэлл PG25</t>
        </is>
      </c>
      <c r="E43" s="7" t="inlineStr">
        <is>
          <t>Штукатурка гипсовая универсальная белая Основит Гипсвэлл PG25 W 30 кг</t>
        </is>
      </c>
      <c r="F43" s="7" t="n">
        <v>2</v>
      </c>
      <c r="G43" s="7" t="inlineStr">
        <is>
          <t>ОСНОВИТ ГИПСВЭЛЛ PG25 W — универсальная гипсовая штукатурка белого цвета для выравнивания стен и потолков внутри помещений с нормальной влажностью.</t>
        </is>
      </c>
      <c r="H43" s="7" t="inlineStr">
        <is>
          <t>30 кг</t>
        </is>
      </c>
      <c r="I43" s="7" t="inlineStr">
        <is>
          <t>8-9 кг/м²</t>
        </is>
      </c>
      <c r="J43" s="7" t="inlineStr">
        <is>
          <t>Слой от 3 до 80 мм</t>
        </is>
      </c>
      <c r="K43" s="7" t="inlineStr">
        <is>
          <t>90/3,0. Соответствует ГОСТ Р 58279-2024</t>
        </is>
      </c>
      <c r="L43" s="7" t="inlineStr">
        <is>
          <t>—</t>
        </is>
      </c>
      <c r="M43" s="7" t="inlineStr"/>
      <c r="N43" s="7" t="inlineStr">
        <is>
          <t>https://osnovit.ru/catalog/shtukaturki/shtukaturka-gipsovaya-universalnayabelaya-osnovit-gipsvell-pg-25-w/</t>
        </is>
      </c>
      <c r="O43" s="7" t="inlineStr">
        <is>
          <t>Белая версия Гипсвэлл PG25 (пара с серой — один series_key). Расход при слое 10 мм. В документации две техкарты, одна — «Техническая карта Майкоп» (вероятно, по площадке производства). Расход воды 0,4-0,5 л (у серой 0,47-0,53 л).</t>
        </is>
      </c>
    </row>
    <row r="44">
      <c r="A44" s="7" t="inlineStr">
        <is>
          <t>Основит</t>
        </is>
      </c>
      <c r="B44" s="7" t="inlineStr">
        <is>
          <t>Штукатурки гипсовые</t>
        </is>
      </c>
      <c r="C44" s="7" t="inlineStr">
        <is>
          <t>да</t>
        </is>
      </c>
      <c r="D44" s="7" t="inlineStr">
        <is>
          <t>Основит Техно PG26/1 M</t>
        </is>
      </c>
      <c r="E44" s="7" t="inlineStr">
        <is>
          <t>Штукатурка гипсовая Основит Техно PG26/1 M 30 кг</t>
        </is>
      </c>
      <c r="F44" s="7" t="n">
        <v>2</v>
      </c>
      <c r="G44" s="7" t="inlineStr">
        <is>
          <t>ОСНОВИТ ТЕХНО PG26/1 M — гипсовая штукатурка серого цвета для выравнивания стен и потолков внутри помещений с нормальной влажностью.</t>
        </is>
      </c>
      <c r="H44" s="7" t="inlineStr">
        <is>
          <t>30 кг</t>
        </is>
      </c>
      <c r="I44" s="7" t="inlineStr">
        <is>
          <t>10 - 11 кг/м²</t>
        </is>
      </c>
      <c r="J44" s="7" t="inlineStr">
        <is>
          <t>3-30 мм</t>
        </is>
      </c>
      <c r="K44" s="7" t="inlineStr">
        <is>
          <t>ГОСТ Р 58279-2024</t>
        </is>
      </c>
      <c r="L44" s="7" t="inlineStr">
        <is>
          <t>—</t>
        </is>
      </c>
      <c r="M44" s="7" t="inlineStr">
        <is>
          <t>серый</t>
        </is>
      </c>
      <c r="N44" s="7" t="inlineStr">
        <is>
          <t>https://osnovit.ru/catalog/shtukaturki/gipsovaya-shtukaturka-osnovit-tekhno-pg26-1-m/</t>
        </is>
      </c>
      <c r="O44" s="7" t="inlineStr">
        <is>
          <t>Серая; белый аналог — PG26/1 MW (id ...gipsovaya-shtukaturka-belaya-osnovit-tekhno-pg26-1-mw). Срок хранения 9/18 мес. В «С этим материалом применяется» — шпаклёвка чужой марки «Стройбриг Генфир».</t>
        </is>
      </c>
    </row>
    <row r="45">
      <c r="A45" s="7" t="inlineStr">
        <is>
          <t>Основит</t>
        </is>
      </c>
      <c r="B45" s="7" t="inlineStr">
        <is>
          <t>Штукатурки гипсовые</t>
        </is>
      </c>
      <c r="C45" s="7" t="inlineStr">
        <is>
          <t>да</t>
        </is>
      </c>
      <c r="D45" s="7" t="inlineStr">
        <is>
          <t>Основит Техно PK27 M</t>
        </is>
      </c>
      <c r="E45" s="7" t="inlineStr">
        <is>
          <t>Штукатурка универсальная влагостойкая Основит Техно PK27 M 30 кг</t>
        </is>
      </c>
      <c r="F45" s="7" t="n">
        <v>1</v>
      </c>
      <c r="G45" s="7" t="inlineStr">
        <is>
          <t>ОСНОВИТ ТЕХНО PK27 M — универсальная влагостойкая гипсовая штукатурка для выравнивания стен и потолков в помещениях с нормальной и повышенной влажностью.</t>
        </is>
      </c>
      <c r="H45" s="7" t="inlineStr">
        <is>
          <t>30 кг</t>
        </is>
      </c>
      <c r="I45" s="7" t="inlineStr">
        <is>
          <t>10-11 кг/м²</t>
        </is>
      </c>
      <c r="J45" s="7" t="inlineStr">
        <is>
          <t>3-30 мм</t>
        </is>
      </c>
      <c r="K45" s="7" t="inlineStr">
        <is>
          <t>ГОСТ Р 58279-2024</t>
        </is>
      </c>
      <c r="L45" s="7" t="inlineStr">
        <is>
          <t>—</t>
        </is>
      </c>
      <c r="M45" s="7" t="inlineStr">
        <is>
          <t>Серый, светло-серый</t>
        </is>
      </c>
      <c r="N45" s="7" t="inlineStr">
        <is>
          <t>https://osnovit.ru/catalog/shtukaturki/shtukaturka-universalnaya-vlagostoykaya-tekhno-pk27-m/</t>
        </is>
      </c>
      <c r="O45" s="7" t="inlineStr">
        <is>
          <t>Влагостойкая гипсовая (код PK, но основа — гипс по тексту). Подпись «толщина слоя без использования» на сайте оборвана (чего — не сказано), значение 3-60 мм. Белый родственник — PK271 MW (другой код и другая прочность).</t>
        </is>
      </c>
    </row>
    <row r="46">
      <c r="A46" s="7" t="inlineStr">
        <is>
          <t>Основит</t>
        </is>
      </c>
      <c r="B46" s="7" t="inlineStr">
        <is>
          <t>Штукатурки гипсовые</t>
        </is>
      </c>
      <c r="C46" s="7" t="inlineStr">
        <is>
          <t>да</t>
        </is>
      </c>
      <c r="D46" s="7" t="inlineStr">
        <is>
          <t>Основит Техно PK271 MW</t>
        </is>
      </c>
      <c r="E46" s="7" t="inlineStr">
        <is>
          <t>Штукатурка универсальная влагостойкая белая Основит Техно PK271 MW 30 кг</t>
        </is>
      </c>
      <c r="F46" s="7" t="n">
        <v>1</v>
      </c>
      <c r="G46" s="7" t="inlineStr">
        <is>
          <t>ОСНОВИТ ТЕХНО PK271 MW — белая влагостойкая гипсовая штукатурка для выравнивания стен и потолков в помещениях с нормальной и повышенной влажностью.</t>
        </is>
      </c>
      <c r="H46" s="7" t="inlineStr">
        <is>
          <t>30 кг, 40 кг</t>
        </is>
      </c>
      <c r="I46" s="7" t="inlineStr">
        <is>
          <t>10 - 11 кг/м²</t>
        </is>
      </c>
      <c r="J46" s="7" t="inlineStr">
        <is>
          <t>3-30 мм</t>
        </is>
      </c>
      <c r="K46" s="7" t="inlineStr">
        <is>
          <t>ГОСТ Р 58279-2024</t>
        </is>
      </c>
      <c r="L46" s="7" t="inlineStr">
        <is>
          <t>—</t>
        </is>
      </c>
      <c r="M46" s="7" t="inlineStr">
        <is>
          <t>Природно-белый*</t>
        </is>
      </c>
      <c r="N46" s="7" t="inlineStr">
        <is>
          <t>https://osnovit.ru/catalog/seria-techno/shtukaturka-universalnaya-vlagostoykaya-belaya-tekhno-pk271-mw/</t>
        </is>
      </c>
      <c r="O46" s="7" t="inlineStr">
        <is>
          <t>В названии 30 кг, в характеристиках «30 кг, 40 кг». Нет кнопки «Купить». Класс 90/3,5 против 90/5,0 у PK27 M — отдельный продукт, не просто белый цвет; series_key оставлен свой. Сноска «*» у цвета без расшифровки в тексте.</t>
        </is>
      </c>
    </row>
    <row r="47">
      <c r="A47" s="7" t="inlineStr">
        <is>
          <t>Dauer</t>
        </is>
      </c>
      <c r="B47" s="7" t="inlineStr">
        <is>
          <t>Штукатурки цементные и цементно-известковые (вкл. обрызг)</t>
        </is>
      </c>
      <c r="C47" s="7" t="inlineStr">
        <is>
          <t>да</t>
        </is>
      </c>
      <c r="D47" s="7" t="inlineStr">
        <is>
          <t>Dauer SLIDER 301</t>
        </is>
      </c>
      <c r="E47" s="7" t="inlineStr">
        <is>
          <t>Dauer SLIDER® 301 Штукатурка цементно-известковая выравнивающая облегченная</t>
        </is>
      </c>
      <c r="F47" s="7" t="n">
        <v>1</v>
      </c>
      <c r="G47" s="7" t="inlineStr">
        <is>
          <t>Штукатурка цементно-известковая выравнивающая облегченная SLIDER® 301 предназначена для ручного и механизированного высококачественного выравнивания (слой 5 – 40 мм) поверхности фасадов зданий и сооружений, стен внутри всех видов помещений в т.ч. влажных и неотапливаемых: подвалы, балконы и лоджии, паркинги, лестничные пролеты, марши, склады, другие помещения с переменной влажностью.</t>
        </is>
      </c>
      <c r="H47" s="7" t="inlineStr">
        <is>
          <t>40 кг.</t>
        </is>
      </c>
      <c r="I47" s="7" t="inlineStr">
        <is>
          <t>12,5 кг/м2</t>
        </is>
      </c>
      <c r="J47" s="7" t="inlineStr">
        <is>
          <t>слой 5 – 40 мм</t>
        </is>
      </c>
      <c r="K47" s="7" t="inlineStr">
        <is>
          <t>ГОСТ 33083</t>
        </is>
      </c>
      <c r="L47" s="7" t="inlineStr">
        <is>
          <t>есть</t>
        </is>
      </c>
      <c r="M47" s="7" t="inlineStr"/>
      <c r="N47" s="7" t="inlineStr">
        <is>
          <t>https://dauer.ru/catalog/shtukaturki/slider-fasad-301/</t>
        </is>
      </c>
      <c r="O47" s="7" t="inlineStr">
        <is>
          <t>Расход 12,5 кг/м2 указан на слой 10 мм. Зимняя версия от -10°С (документ «лето и зима»). Подходит для штукатурных станций 220/380 В. Полное наименование «Dauer Slider Фасад (Fasad) 301».</t>
        </is>
      </c>
    </row>
    <row r="48">
      <c r="A48" s="7" t="inlineStr">
        <is>
          <t>Dauer</t>
        </is>
      </c>
      <c r="B48" s="7" t="inlineStr">
        <is>
          <t>Штукатурки цементные и цементно-известковые (вкл. обрызг)</t>
        </is>
      </c>
      <c r="C48" s="7" t="inlineStr">
        <is>
          <t>да</t>
        </is>
      </c>
      <c r="D48" s="7" t="inlineStr">
        <is>
          <t>Dauer SLIDER 302</t>
        </is>
      </c>
      <c r="E48" s="7" t="inlineStr">
        <is>
          <t>Dauer SLIDER® 302 Штукатурка цементно-известковая гладкая</t>
        </is>
      </c>
      <c r="F48" s="7" t="n">
        <v>1</v>
      </c>
      <c r="G48" s="7" t="inlineStr">
        <is>
          <t>Штукатурка цементно-известковая гладкая Dauer SLIDER® 302 предназначена для ручного и механизированного высококачественного выравнивания (слой 5 – 40 мм) поверхности фасадов зданий и сооружений, стен внутри всех видов помещений в т.ч. влажных и неотапливаемых: подвалы, балконы и лоджии, паркинги, лестничные пролеты, марши, склады, другие помещения с переменной влажностью.</t>
        </is>
      </c>
      <c r="H48" s="7" t="inlineStr">
        <is>
          <t>25 кг.</t>
        </is>
      </c>
      <c r="I48" s="7" t="inlineStr">
        <is>
          <t>12,5 кг/м2</t>
        </is>
      </c>
      <c r="J48" s="7" t="inlineStr">
        <is>
          <t>слой 5 – 40 мм</t>
        </is>
      </c>
      <c r="K48" s="7" t="inlineStr">
        <is>
          <t>ГОСТ 33083</t>
        </is>
      </c>
      <c r="L48" s="7" t="inlineStr">
        <is>
          <t>есть</t>
        </is>
      </c>
      <c r="M48" s="7" t="inlineStr"/>
      <c r="N48" s="7" t="inlineStr">
        <is>
          <t>https://dauer.ru/catalog/shtukaturki/slider-fasad-302/</t>
        </is>
      </c>
      <c r="O48" s="7" t="inlineStr">
        <is>
          <t>Расход 12,5 кг/м2 указан на слой 10 мм. Есть зимняя версия (по характеристикам от -10°С). Полное наименование «Dauer Slider Фасад (Fasad) 302».</t>
        </is>
      </c>
    </row>
    <row r="49">
      <c r="A49" s="7" t="inlineStr">
        <is>
          <t>Dauer</t>
        </is>
      </c>
      <c r="B49" s="7" t="inlineStr">
        <is>
          <t>Штукатурки цементные и цементно-известковые (вкл. обрызг)</t>
        </is>
      </c>
      <c r="C49" s="7" t="inlineStr">
        <is>
          <t>да</t>
        </is>
      </c>
      <c r="D49" s="7" t="inlineStr">
        <is>
          <t>Dauer SLIDER 31 Slim</t>
        </is>
      </c>
      <c r="E49" s="7" t="inlineStr">
        <is>
          <t>Dauer SLIDER® 31 Штукатурка цементная мелкофракционная гладкая</t>
        </is>
      </c>
      <c r="F49" s="7" t="n">
        <v>1</v>
      </c>
      <c r="G49" s="7" t="inlineStr">
        <is>
          <t>Для ручного и механизированного выравнивания слоем от 3 мм. (локально) до 30 мм. поверхности фасадов, стен внутри всех видов помещений, в т.ч. влажных и неотапливаемых: подвалы, лоджии, паркинги, лестничные пролеты, марши, склады, душевые и ванные комнаты.</t>
        </is>
      </c>
      <c r="H49" s="7" t="inlineStr">
        <is>
          <t>25 кг, 40 кг</t>
        </is>
      </c>
      <c r="I49" s="7" t="inlineStr">
        <is>
          <t>12 - 13 кг/м²</t>
        </is>
      </c>
      <c r="J49" s="7" t="inlineStr">
        <is>
          <t>слоем от 3 мм. (локально) до 30 мм.</t>
        </is>
      </c>
      <c r="K49" s="7" t="inlineStr">
        <is>
          <t>ГОСТ 33083-2014</t>
        </is>
      </c>
      <c r="L49" s="7" t="inlineStr">
        <is>
          <t>есть</t>
        </is>
      </c>
      <c r="M49" s="7" t="inlineStr"/>
      <c r="N49" s="7" t="inlineStr">
        <is>
          <t>https://dauer.ru/catalog/shtukaturki/slider-fasad-31-slim-shtukaturka-tsementnaya-melkofraktsionnaya-gladkaya-kp-iii-gost-33083-2014/</t>
        </is>
      </c>
      <c r="O49" s="7" t="inlineStr">
        <is>
          <t>В h1 только «SLIDER® 31»; «Slim/Тонкая» есть в полном наименовании «Dauer Slider Фасад (Fasad) 31 Тонкая (Slim)». Не путать с 31 Фибра. Зимние модификации -10 и -15°С. Странность: в описании «от 3 мм. (локально)», а в характеристиках «Толщина слоя при локальном выравнивании — до 50 мм». Расход 12–13 кг/м² указан на слой 10 мм.</t>
        </is>
      </c>
    </row>
    <row r="50">
      <c r="A50" s="7" t="inlineStr">
        <is>
          <t>Dauer</t>
        </is>
      </c>
      <c r="B50" s="7" t="inlineStr">
        <is>
          <t>Штукатурки цементные и цементно-известковые (вкл. обрызг)</t>
        </is>
      </c>
      <c r="C50" s="7" t="inlineStr">
        <is>
          <t>да</t>
        </is>
      </c>
      <c r="D50" s="7" t="inlineStr">
        <is>
          <t>Dauer SLIDER 31 Фибра</t>
        </is>
      </c>
      <c r="E50" s="7" t="inlineStr">
        <is>
          <t>Dauer SLIDER® 31 Фибра Штукатурка цементная выравнивающая армированная</t>
        </is>
      </c>
      <c r="F50" s="7" t="n">
        <v>1</v>
      </c>
      <c r="G50" s="7" t="inlineStr">
        <is>
          <t>Для ручного и механизированного выравнивания (слоем 5 - 40 мм) поверхности фасадов, стен внутри всех видов помещений, в т.ч. влажных и неотапливаемых: подвалы, балконы и лоджии, паркинги, лестничные пролеты, марши, склады, душевые и ванные комнаты. Для ремонта сколов, выбоин, раковин, трещин глубиной до 50 мм.</t>
        </is>
      </c>
      <c r="H50" s="7" t="inlineStr">
        <is>
          <t>25 кг, 40 кг</t>
        </is>
      </c>
      <c r="I50" s="7" t="inlineStr">
        <is>
          <t>14 - 15 кг/м²</t>
        </is>
      </c>
      <c r="J50" s="7" t="inlineStr">
        <is>
          <t>слоем 5 - 40 мм</t>
        </is>
      </c>
      <c r="K50" s="7" t="inlineStr">
        <is>
          <t>ГОСТ 33083-2014</t>
        </is>
      </c>
      <c r="L50" s="7" t="inlineStr">
        <is>
          <t>есть</t>
        </is>
      </c>
      <c r="M50" s="7" t="inlineStr"/>
      <c r="N50" s="7" t="inlineStr">
        <is>
          <t>https://dauer.ru/catalog/shtukaturki/slider-fasad-31-fibro-shtukaturka-tsementnaya-vyravnivayushchaya-armirovannaya-kp-iii-gost-33083-201/</t>
        </is>
      </c>
      <c r="O50" s="7" t="inlineStr">
        <is>
          <t>Армированная (фибра, «двойное армирование»); в особенностях опечатка сайта «Услиена двойным армированием». Это отдельный продукт от SLIDER 31 Slim (другие фракция и расход), поэтому свой series_key. Прямой фразы «для наружных и внутренних работ» нет, есть только «фасадов, стен внутри». Расход 14–15 кг/м² указан на слой 10 мм. Полное наименование «Dauer Slider Фасад (Fasad) 31 Фибра (Fibro)».</t>
        </is>
      </c>
    </row>
    <row r="51">
      <c r="A51" s="7" t="inlineStr">
        <is>
          <t>Dauer</t>
        </is>
      </c>
      <c r="B51" s="7" t="inlineStr">
        <is>
          <t>Штукатурки цементные и цементно-известковые (вкл. обрызг)</t>
        </is>
      </c>
      <c r="C51" s="7" t="inlineStr">
        <is>
          <t>да</t>
        </is>
      </c>
      <c r="D51" s="7" t="inlineStr">
        <is>
          <t>Dauer SLIDER 312</t>
        </is>
      </c>
      <c r="E51" s="7" t="inlineStr">
        <is>
          <t>Dauer SLIDER® 312 Штукатурка цементная гладкая с перлитом</t>
        </is>
      </c>
      <c r="F51" s="7" t="n">
        <v>1</v>
      </c>
      <c r="G51" s="7" t="inlineStr">
        <is>
          <t>Для высококачественного выравнивания (слой 3 – 40 мм) поверхности фасадов зданий и сооружений, стен внутри всех видов помещений в т.ч. влажных и неотапливаемых: подвалы, балконы и лоджии, паркинги, лестничные пролеты, марши, склады, душевые и ванные комнаты.</t>
        </is>
      </c>
      <c r="H51" s="7" t="inlineStr">
        <is>
          <t>30 кг.</t>
        </is>
      </c>
      <c r="I51" s="7" t="inlineStr">
        <is>
          <t>12 кг/м2</t>
        </is>
      </c>
      <c r="J51" s="7" t="inlineStr">
        <is>
          <t>слой 3 – 40 мм</t>
        </is>
      </c>
      <c r="K51" s="7" t="inlineStr">
        <is>
          <t>ГОСТ 33083</t>
        </is>
      </c>
      <c r="L51" s="7" t="inlineStr">
        <is>
          <t>есть</t>
        </is>
      </c>
      <c r="M51" s="7" t="inlineStr"/>
      <c r="N51" s="7" t="inlineStr">
        <is>
          <t>https://dauer.ru/catalog/shtukaturki/slider-312/</t>
        </is>
      </c>
      <c r="O51" s="7" t="inlineStr">
        <is>
          <t>Содержит перлит. Зимняя версия есть (по характеристикам). В документах ещё «SLIDER FASAD 312 .pdf» и «Варса.pdf»: судя по подписям на странице, одно из них — «Рекомендательное письмо», какое именно — неясно; в tech_sheet_urls не включены. Ссылка на документ подписана «Штукатурка цементная мелкофракционная гладкая», в h1 — «гладкая с перлитом». Расход 12 кг/м2 указан на слой 10 мм.</t>
        </is>
      </c>
    </row>
    <row r="52">
      <c r="A52" s="7" t="inlineStr">
        <is>
          <t>Dauer</t>
        </is>
      </c>
      <c r="B52" s="7" t="inlineStr">
        <is>
          <t>Штукатурки цементные и цементно-известковые (вкл. обрызг)</t>
        </is>
      </c>
      <c r="C52" s="7" t="inlineStr">
        <is>
          <t>да</t>
        </is>
      </c>
      <c r="D52" s="7" t="inlineStr">
        <is>
          <t>Dauer SLIDER 321</t>
        </is>
      </c>
      <c r="E52" s="7" t="inlineStr">
        <is>
          <t>Dauer SLIDER® 321 штукатурка цементная высокопрочная фасадная</t>
        </is>
      </c>
      <c r="F52" s="7" t="n">
        <v>1</v>
      </c>
      <c r="G52" s="7" t="inlineStr">
        <is>
          <t>Штукатурка цементная высокопрочная фасадная SLIDER® 321 предназначена для ручного и механизированного высококачественного выравнивания (слой 10 – 40 мм, локально от 5 мм.) поверхности фасадов и цоколей зданий и сооружений, стен снаружи и внутри всех видов помещений в т.ч. влажных и неотапливаемых: подвалы, балконы и лоджии, паркинги, лестничные пролеты, марши, склады, другие помещения с переменной влажностью.</t>
        </is>
      </c>
      <c r="H52" s="7" t="inlineStr">
        <is>
          <t>40 кг.</t>
        </is>
      </c>
      <c r="I52" s="7" t="inlineStr">
        <is>
          <t>16 кг/м2</t>
        </is>
      </c>
      <c r="J52" s="7" t="inlineStr">
        <is>
          <t>слой 10 – 40 мм, локально от 5 мм.</t>
        </is>
      </c>
      <c r="K52" s="7" t="inlineStr">
        <is>
          <t>ГОСТ 33083-2014</t>
        </is>
      </c>
      <c r="L52" s="7" t="inlineStr">
        <is>
          <t>есть</t>
        </is>
      </c>
      <c r="M52" s="7" t="inlineStr"/>
      <c r="N52" s="7" t="inlineStr">
        <is>
          <t>https://dauer.ru/catalog/shtukaturki/dauer-slider-321/</t>
        </is>
      </c>
      <c r="O52" s="7" t="inlineStr">
        <is>
          <t>Тип: выравнивающая фасадная и цокольная штукатурка («двойное армирование», под натуральный и искусственный камень и крупноформатный керамогранит). Отнесена к plaster_cement, а не к plaster_facade_base. Странность: зимняя версия «от +5 °С до -10 °С». Расход 16 кг/м2 указан на слой 10 мм.</t>
        </is>
      </c>
    </row>
    <row r="53">
      <c r="A53" s="7" t="inlineStr">
        <is>
          <t>Dauer</t>
        </is>
      </c>
      <c r="B53" s="7" t="inlineStr">
        <is>
          <t>Штукатурки цементные и цементно-известковые (вкл. обрызг)</t>
        </is>
      </c>
      <c r="C53" s="7" t="inlineStr">
        <is>
          <t>да</t>
        </is>
      </c>
      <c r="D53" s="7" t="inlineStr">
        <is>
          <t>Dauer SLIDER Адгезив</t>
        </is>
      </c>
      <c r="E53" s="7" t="inlineStr">
        <is>
          <t>Dauer SLIDER® Адгезив высокопрочный обрызг</t>
        </is>
      </c>
      <c r="F53" s="7" t="n">
        <v>1</v>
      </c>
      <c r="G53" s="7" t="inlineStr">
        <is>
          <t>Штукатурный цементный обрызг высокопрочный SLIDER® Адгезив используется для создания шероховатого, структурного, слоя на гладких слабовпитывающих поверхностях и основаниях, для укрепления и выравнивания впитывающей способности комбинированных оснований.</t>
        </is>
      </c>
      <c r="H53" s="7" t="inlineStr">
        <is>
          <t>25 кг.</t>
        </is>
      </c>
      <c r="I53" s="7" t="inlineStr">
        <is>
          <t>1,6 кг/м2</t>
        </is>
      </c>
      <c r="J53" s="7" t="inlineStr">
        <is>
          <t>Толщина наносимого слоя обрызга - 4-10 мм</t>
        </is>
      </c>
      <c r="K53" s="7" t="inlineStr">
        <is>
          <t>ГОСТ 33083</t>
        </is>
      </c>
      <c r="L53" s="7" t="inlineStr">
        <is>
          <t>есть</t>
        </is>
      </c>
      <c r="M53" s="7" t="inlineStr"/>
      <c r="N53" s="7" t="inlineStr">
        <is>
          <t>https://dauer.ru/catalog/shtukaturki/slider-fasad-adhesive/</t>
        </is>
      </c>
      <c r="O53" s="7" t="inlineStr">
        <is>
          <t>Цементный обрызг (адгезионный слой) под штукатурку. Красный цвет нужен для «индикации качества нанесения». Есть зимняя версия. Расход 1,6 кг/м2 указан на слой 1 мм. Полное наименование «Dauer Slider Фасад (Fasad) Адгезив (Adhesive)».</t>
        </is>
      </c>
    </row>
    <row r="54">
      <c r="A54" s="7" t="inlineStr">
        <is>
          <t>Dauer</t>
        </is>
      </c>
      <c r="B54" s="7" t="inlineStr">
        <is>
          <t>Штукатурки цементные и цементно-известковые (вкл. обрызг)</t>
        </is>
      </c>
      <c r="C54" s="7" t="inlineStr">
        <is>
          <t>да</t>
        </is>
      </c>
      <c r="D54" s="7" t="inlineStr">
        <is>
          <t>Dauer SLIDER Легкая</t>
        </is>
      </c>
      <c r="E54" s="7" t="inlineStr">
        <is>
          <t>Dauer SLIDER® Легкая Штукатурка цементно-известковая легкая</t>
        </is>
      </c>
      <c r="F54" s="7" t="n">
        <v>1</v>
      </c>
      <c r="G54" s="7" t="inlineStr">
        <is>
          <t>Легкая штукатурка для ручного и механизированного высококачественного выравнивания (слой 5 – 50 мм, локально до 80 мм) поверхности фасадов зданий и сооружений, стен внутри всех видов помещений в т.ч. влажных и неотапливаемых: подвалы, балконы и лоджии, паркинги, лестничные пролеты, марши, склады, другие помещения с переменной влажностью, а также для предварительного выравнивания потолков.</t>
        </is>
      </c>
      <c r="H54" s="7" t="inlineStr">
        <is>
          <t>30 кг.</t>
        </is>
      </c>
      <c r="I54" s="7" t="inlineStr">
        <is>
          <t>9 - 10 кг/м2</t>
        </is>
      </c>
      <c r="J54" s="7" t="inlineStr">
        <is>
          <t>слой 5 – 50 мм, локально до 80 мм</t>
        </is>
      </c>
      <c r="K54" s="7" t="inlineStr">
        <is>
          <t>ГОСТ 33083</t>
        </is>
      </c>
      <c r="L54" s="7" t="inlineStr">
        <is>
          <t>есть</t>
        </is>
      </c>
      <c r="M54" s="7" t="inlineStr"/>
      <c r="N54" s="7" t="inlineStr">
        <is>
          <t>https://dauer.ru/catalog/shtukaturki/slider-light/</t>
        </is>
      </c>
      <c r="O54" s="7" t="inlineStr">
        <is>
          <t>В особенностях: λ0,2 Вт/(м·К), нагрузка на конструкции ниже до 2х раз; плитка с гранью не более 45 см. Расхождение по воде: в характеристиках 0,29–0,33 л на 1 кг, в разделе работ 0,28–0,3 л (8,4–9,0 л на мешок 30 кг). Полного наименования на странице нет. Декларация РОСС RU (кода товара в имени нет) не включена.</t>
        </is>
      </c>
    </row>
    <row r="55">
      <c r="A55" s="7" t="inlineStr">
        <is>
          <t>Perel</t>
        </is>
      </c>
      <c r="B55" s="7" t="inlineStr">
        <is>
          <t>Штукатурки цементные и цементно-известковые (вкл. обрызг)</t>
        </is>
      </c>
      <c r="C55" s="7" t="inlineStr">
        <is>
          <t>да</t>
        </is>
      </c>
      <c r="D55" s="7" t="inlineStr">
        <is>
          <t>Perel Robust</t>
        </is>
      </c>
      <c r="E55" s="7" t="inlineStr">
        <is>
          <t>Perel Robust, 25 кг, цементная штукатурка для ручного нанесения</t>
        </is>
      </c>
      <c r="F55" s="7" t="n">
        <v>1</v>
      </c>
      <c r="G55" s="7" t="inlineStr">
        <is>
          <t>Штукатурная смесь на основе цементно-известкового вяжущего для выравнивания стен из бетона, кирпича, газобетона, а также заделки стыков и отдельных неровностей бетонных и железобетонных плит для внутренних и наружных работ, в сухих и влажных помещениях.</t>
        </is>
      </c>
      <c r="H55" s="7" t="inlineStr">
        <is>
          <t>Бумажные крафт-мешки по 25 кг.</t>
        </is>
      </c>
      <c r="I55" s="7" t="inlineStr">
        <is>
          <t>15-16 кг/м² при толщине слоя 10 мм.</t>
        </is>
      </c>
      <c r="J55" s="7" t="inlineStr"/>
      <c r="K55" s="7" t="inlineStr"/>
      <c r="L55" s="7" t="inlineStr">
        <is>
          <t>—</t>
        </is>
      </c>
      <c r="M55" s="7" t="inlineStr"/>
      <c r="N55" s="7" t="inlineStr">
        <is>
          <t>https://td-perel.ru/catalog/tsementnaya-shtukaturka/tsementno-izvestkovaya-shtukaturka-perel-robust-25-kg/</t>
        </is>
      </c>
      <c r="O55" s="7" t="inlineStr">
        <is>
          <t>В блоке характеристик только артикул. Ручное нанесение; машинная версия — Robust-M 0514 (отдельный товар в этой пачке). Многослойно — каждый слой через ~24 ч; для фасадов сетка 20х20/40х40 мм.</t>
        </is>
      </c>
    </row>
    <row r="56">
      <c r="A56" s="7" t="inlineStr">
        <is>
          <t>Perel</t>
        </is>
      </c>
      <c r="B56" s="7" t="inlineStr">
        <is>
          <t>Штукатурки цементные и цементно-известковые (вкл. обрызг)</t>
        </is>
      </c>
      <c r="C56" s="7" t="inlineStr">
        <is>
          <t>да</t>
        </is>
      </c>
      <c r="D56" s="7" t="inlineStr">
        <is>
          <t>Perel Robust-M</t>
        </is>
      </c>
      <c r="E56" s="7" t="inlineStr">
        <is>
          <t>Perel Robust-M, 25 кг, цементная штукатурка для машинного нанесения</t>
        </is>
      </c>
      <c r="F56" s="7" t="n">
        <v>1</v>
      </c>
      <c r="G56" s="7" t="inlineStr">
        <is>
          <t>Штукатурная смесь на основе цементно-известкового вяжущего для выравнивания стен из бетона, кирпича, газобетона, а также заделки стыков и отдельных неровностей бетонных и железобетонных плит для внутренних и наружных работ, в сухих и влажных помещениях.</t>
        </is>
      </c>
      <c r="H56" s="7" t="inlineStr">
        <is>
          <t>Бумажные крафт-мешки по 25 кг.</t>
        </is>
      </c>
      <c r="I56" s="7" t="inlineStr">
        <is>
          <t>15-16 кг/м2 при толщине слоя 10 мм.</t>
        </is>
      </c>
      <c r="J56" s="7" t="inlineStr"/>
      <c r="K56" s="7" t="inlineStr"/>
      <c r="L56" s="7" t="inlineStr">
        <is>
          <t>—</t>
        </is>
      </c>
      <c r="M56" s="7" t="inlineStr"/>
      <c r="N56" s="7" t="inlineStr">
        <is>
          <t>https://td-perel.ru/catalog/tsementnaya-shtukaturka/tsementno-izvestkovaya-shtukaturka-perel-robust-m-25-kg/</t>
        </is>
      </c>
      <c r="O56" s="7" t="inlineStr">
        <is>
          <t>В блоке характеристик только артикул. Для машинного (и ручного) нанесения; текст почти совпадает с Robust 0515.</t>
        </is>
      </c>
    </row>
    <row r="57">
      <c r="A57" s="7" t="inlineStr">
        <is>
          <t>Perel</t>
        </is>
      </c>
      <c r="B57" s="7" t="inlineStr">
        <is>
          <t>Штукатурки цементные и цементно-известковые (вкл. обрызг)</t>
        </is>
      </c>
      <c r="C57" s="7" t="inlineStr">
        <is>
          <t>да</t>
        </is>
      </c>
      <c r="D57" s="7" t="inlineStr">
        <is>
          <t>Perel TeploRob</t>
        </is>
      </c>
      <c r="E57" s="7" t="inlineStr">
        <is>
          <t>Perel TeploRob, 20 кг, легкая цементная штукатурка с перлитом</t>
        </is>
      </c>
      <c r="F57" s="7" t="n">
        <v>1</v>
      </c>
      <c r="G57" s="7" t="inlineStr">
        <is>
          <t>Лёгкая штукатурная смесь на основе цементно-известкового вяжущего и легкого минерального наполнителя (перлита) для выравнивания стен из бетона, кирпича, газобетона, а также заделки стыков и отдельных неровностей бетонных и железобетонных плит в сухих, влажных помещениях и для наружных работ.</t>
        </is>
      </c>
      <c r="H57" s="7" t="inlineStr">
        <is>
          <t>Бумажные крафт-мешки по 20 кг.</t>
        </is>
      </c>
      <c r="I57" s="7" t="inlineStr">
        <is>
          <t>11-12 кг/м² при толщине слоя 10 мм.</t>
        </is>
      </c>
      <c r="J57" s="7" t="inlineStr"/>
      <c r="K57" s="7" t="inlineStr"/>
      <c r="L57" s="7" t="inlineStr">
        <is>
          <t>—</t>
        </is>
      </c>
      <c r="M57" s="7" t="inlineStr"/>
      <c r="N57" s="7" t="inlineStr">
        <is>
          <t>https://td-perel.ru/catalog/tsementnaya-shtukaturka/tsementno-izvestkovaya-shtukaturka-perel-teplorob-20-kg/</t>
        </is>
      </c>
      <c r="O57" s="7" t="inlineStr">
        <is>
          <t>В блоке характеристик только артикул. Для ручного нанесения. Отдельный артикул от TeploRob TR 0517 (35 кг) — разные продукты, series_key разведены.</t>
        </is>
      </c>
    </row>
    <row r="58">
      <c r="A58" s="7" t="inlineStr">
        <is>
          <t>Perel</t>
        </is>
      </c>
      <c r="B58" s="7" t="inlineStr">
        <is>
          <t>Штукатурки цементные и цементно-известковые (вкл. обрызг)</t>
        </is>
      </c>
      <c r="C58" s="7" t="inlineStr">
        <is>
          <t>да</t>
        </is>
      </c>
      <c r="D58" s="7" t="inlineStr">
        <is>
          <t>Perel TeploRob TR</t>
        </is>
      </c>
      <c r="E58" s="7" t="inlineStr">
        <is>
          <t>Perel TeploRob TR, 35 кг, облегченная цементная штукатурка с перлитом</t>
        </is>
      </c>
      <c r="F58" s="7" t="n">
        <v>1</v>
      </c>
      <c r="G58" s="7" t="inlineStr">
        <is>
          <t>Облегченная штукатурная смесь на основе цементно-известкового вяжущего и легкого минерального наполнителя (перлита) для выравнивания стен из бетона, кирпича, газобетона, а также заделки стыков и отдельных неровностей бетонных и железобетонных плит в сухих, влажных помещениях и для наружных работ.</t>
        </is>
      </c>
      <c r="H58" s="7" t="inlineStr">
        <is>
          <t>Бумажные крафт-мешки по 35 кг.</t>
        </is>
      </c>
      <c r="I58" s="7" t="inlineStr">
        <is>
          <t>12-13 кг/м² при толщине слоя 10 мм.</t>
        </is>
      </c>
      <c r="J58" s="7" t="inlineStr"/>
      <c r="K58" s="7" t="inlineStr">
        <is>
          <t>ГОСТ 31357-2007 «Смеси сухие строительные на цементном вяжущем. Общие технические условия»</t>
        </is>
      </c>
      <c r="L58" s="7" t="inlineStr">
        <is>
          <t>—</t>
        </is>
      </c>
      <c r="M58" s="7" t="inlineStr"/>
      <c r="N58" s="7" t="inlineStr">
        <is>
          <t>https://td-perel.ru/catalog/tsementnaya-shtukaturka/oblegchennaya-tsementno-izvestkovaya-shtukaturka-perel-teplorob-tr-35-kg/</t>
        </is>
      </c>
      <c r="O58" s="7" t="inlineStr">
        <is>
          <t>В блоке характеристик только артикул. Отличается от TeploRob 0518 (20 кг): облегчённая, 35 кг, вода 6,5-7,5 л на мешок, расход 12-13 кг/м². Подрезка через 6–24 ч, увлажнять 2–5 суток. Единственная карточка пачки со ссылкой на ГОСТ.</t>
        </is>
      </c>
    </row>
    <row r="59">
      <c r="A59" s="7" t="inlineStr">
        <is>
          <t>Основит</t>
        </is>
      </c>
      <c r="B59" s="7" t="inlineStr">
        <is>
          <t>Штукатурки цементные и цементно-известковые (вкл. обрызг)</t>
        </is>
      </c>
      <c r="C59" s="7" t="inlineStr">
        <is>
          <t>да</t>
        </is>
      </c>
      <c r="D59" s="7" t="inlineStr">
        <is>
          <t>Основит PRO Штукатурка цементная</t>
        </is>
      </c>
      <c r="E59" s="7" t="inlineStr">
        <is>
          <t>Штукатурка цементная Основит PRO</t>
        </is>
      </c>
      <c r="F59" s="7" t="n">
        <v>1</v>
      </c>
      <c r="G59" s="7" t="inlineStr">
        <is>
          <t>Штукатурка Фасадная ОСНОВИТ PRO предназначена для выравнивания стен из кирпича, бетона и ячеистого бетона.</t>
        </is>
      </c>
      <c r="H59" s="7" t="inlineStr">
        <is>
          <t>25 кг</t>
        </is>
      </c>
      <c r="I59" s="7" t="inlineStr">
        <is>
          <t>16-17 кг/м²</t>
        </is>
      </c>
      <c r="J59" s="7" t="inlineStr">
        <is>
          <t>5-30 мм</t>
        </is>
      </c>
      <c r="K59" s="7" t="inlineStr">
        <is>
          <t>КП III, F50 механизированного нанесения, ГОСТ 33083-2014</t>
        </is>
      </c>
      <c r="L59" s="7" t="inlineStr">
        <is>
          <t>—</t>
        </is>
      </c>
      <c r="M59" s="7" t="inlineStr"/>
      <c r="N59" s="7" t="inlineStr">
        <is>
          <t>https://osnovit.ru/catalog/osnovit-pro/shtukaturka-fasadnaya-pro/</t>
        </is>
      </c>
      <c r="O59" s="7" t="inlineStr">
        <is>
          <t>В тексте назначения продукт назван «Штукатурка Фасадная ОСНОВИТ PRO», адрес …/shtukaturka-fasadnaya-pro/, заголовок — «Штукатурка цементная». Выравнивающая цементная штукатурка (для фасадов выше цоколя и помещений), поэтому plaster_cement, а не plaster_facade_base. base_quote взят из названия (в тексте вяжущее отдельно не названо). Нет pdf во входе.</t>
        </is>
      </c>
    </row>
    <row r="60">
      <c r="A60" s="7" t="inlineStr">
        <is>
          <t>Основит</t>
        </is>
      </c>
      <c r="B60" s="7" t="inlineStr">
        <is>
          <t>Штукатурки цементные и цементно-известковые (вкл. обрызг)</t>
        </is>
      </c>
      <c r="C60" s="7" t="inlineStr">
        <is>
          <t>да</t>
        </is>
      </c>
      <c r="D60" s="7" t="inlineStr">
        <is>
          <t>Основит Стартвэлл PC211 M</t>
        </is>
      </c>
      <c r="E60" s="7" t="inlineStr">
        <is>
          <t>Штукатурка цементная Основит Стартвэлл PC211 M 25 кг</t>
        </is>
      </c>
      <c r="F60" s="7" t="n">
        <v>1</v>
      </c>
      <c r="G60" s="7" t="inlineStr">
        <is>
          <t>ОСНОВИТ СТАРТВЭЛЛ PC211 M — цементная штукатурка для базового выравнивания стен внутри и снаружи зданий.</t>
        </is>
      </c>
      <c r="H60" s="7" t="inlineStr">
        <is>
          <t>25 кг</t>
        </is>
      </c>
      <c r="I60" s="7" t="inlineStr">
        <is>
          <t>13-14 кг/м</t>
        </is>
      </c>
      <c r="J60" s="7" t="inlineStr">
        <is>
          <t>5-30 мм</t>
        </is>
      </c>
      <c r="K60" s="7" t="inlineStr">
        <is>
          <t>КП III, F50, механизированного нанесения. Соответствует ГОСТ 33083-2014</t>
        </is>
      </c>
      <c r="L60" s="7" t="inlineStr">
        <is>
          <t>—</t>
        </is>
      </c>
      <c r="M60" s="7" t="inlineStr"/>
      <c r="N60" s="7" t="inlineStr">
        <is>
          <t>https://osnovit.ru/catalog/shtukaturki-tsementnye/osnovit-startvell-pc211-m-shtukaturka-tsementnaya/</t>
        </is>
      </c>
      <c r="O60" s="7" t="inlineStr">
        <is>
          <t>Расход при слое 10 мм указан как «13-14 кг/м» (без квадрата — так на странице). В первой строке марка морозостойкости F50, а в характеристиках и преимуществах — 75 циклов. Техкарты в документации нет.</t>
        </is>
      </c>
    </row>
    <row r="61">
      <c r="A61" s="7" t="inlineStr">
        <is>
          <t>Основит</t>
        </is>
      </c>
      <c r="B61" s="7" t="inlineStr">
        <is>
          <t>Штукатурки цементные и цементно-известковые (вкл. обрызг)</t>
        </is>
      </c>
      <c r="C61" s="7" t="inlineStr">
        <is>
          <t>да</t>
        </is>
      </c>
      <c r="D61" s="7" t="inlineStr">
        <is>
          <t>Основит Стартвэлл PC22 H</t>
        </is>
      </c>
      <c r="E61" s="7" t="inlineStr">
        <is>
          <t>Штукатурка цементная высокопрочная Основит Стартвэлл PC22 H 25 кг</t>
        </is>
      </c>
      <c r="F61" s="7" t="n">
        <v>1</v>
      </c>
      <c r="G61" s="7" t="inlineStr">
        <is>
          <t>ОСНОВИТ СТАРТВЭЛЛ PC22 H — высокопрочная цементная штукатурка для выравнивания стен и поверхностей, подвергающихся повышенным эксплуатационным нагрузкам.</t>
        </is>
      </c>
      <c r="H61" s="7" t="inlineStr">
        <is>
          <t>25 кг</t>
        </is>
      </c>
      <c r="I61" s="7" t="inlineStr">
        <is>
          <t>16 кг/м²</t>
        </is>
      </c>
      <c r="J61" s="7" t="inlineStr">
        <is>
          <t>5–30 мм</t>
        </is>
      </c>
      <c r="K61" s="7" t="inlineStr">
        <is>
          <t>КП IV, F100. Соответствует ГОСТ 33083-2014</t>
        </is>
      </c>
      <c r="L61" s="7" t="inlineStr">
        <is>
          <t>—</t>
        </is>
      </c>
      <c r="M61" s="7" t="inlineStr"/>
      <c r="N61" s="7" t="inlineStr">
        <is>
          <t>https://osnovit.ru/catalog/shtukaturki/osnovit-bigvell-t-22-shtukaturka-fasadnaya-profi/</t>
        </is>
      </c>
      <c r="O61" s="7" t="inlineStr">
        <is>
          <t>Адрес карточки osnovit-bigvell-t-22-… (старое имя «Бигвэлл Т-22»), заголовок — Стартвэлл PC22 H. Противоречия на странице: первая строка «для наружных работ, КП IV, F100», а преимущество «Для внутренних и наружных работ» и морозостойкость в характеристиках 75 циклов. Расход воды дан отдельно для производственных кластеров ПБЕ Коломна (К), Бердск (С), Невинномысск (Н), Ульяновск (У). Расход при сло</t>
        </is>
      </c>
    </row>
    <row r="62">
      <c r="A62" s="7" t="inlineStr">
        <is>
          <t>Основит</t>
        </is>
      </c>
      <c r="B62" s="7" t="inlineStr">
        <is>
          <t>Штукатурки цементные и цементно-известковые (вкл. обрызг)</t>
        </is>
      </c>
      <c r="C62" s="7" t="inlineStr">
        <is>
          <t>да</t>
        </is>
      </c>
      <c r="D62" s="7" t="inlineStr">
        <is>
          <t>Основит Техно PC20 M</t>
        </is>
      </c>
      <c r="E62" s="7" t="inlineStr">
        <is>
          <t>Обрызг штукатурный Основит Техно PC20 M 25 кг</t>
        </is>
      </c>
      <c r="F62" s="7" t="n">
        <v>1</v>
      </c>
      <c r="G62" s="7" t="inlineStr">
        <is>
          <t>ОСНОВИТ ТЕХНО PC20 M — цементный штукатурный обрызг для предварительной подготовки бетонных, кирпичных и других минеральных оснований перед нанесением выравнивающей штукатурки.</t>
        </is>
      </c>
      <c r="H62" s="7" t="inlineStr">
        <is>
          <t>25 кг</t>
        </is>
      </c>
      <c r="I62" s="7" t="inlineStr">
        <is>
          <t>1,6 кг/м²</t>
        </is>
      </c>
      <c r="J62" s="7" t="inlineStr">
        <is>
          <t>4-12 мм</t>
        </is>
      </c>
      <c r="K62" s="7" t="inlineStr">
        <is>
          <t>КП IV, F50, механизированного нанесения. Соответствует ГОСТ 33083-2014.</t>
        </is>
      </c>
      <c r="L62" s="7" t="inlineStr">
        <is>
          <t>есть</t>
        </is>
      </c>
      <c r="M62" s="7" t="inlineStr">
        <is>
          <t>Красный</t>
        </is>
      </c>
      <c r="N62" s="7" t="inlineStr">
        <is>
          <t>https://osnovit.ru/catalog/shtukaturki/tekhno-pc20-m-shtukaturnyy-obryzg-osnovit/</t>
        </is>
      </c>
      <c r="O62" s="7" t="inlineStr">
        <is>
          <t>Зимняя версия по тексту — «ОСНОВИТ ТЕХНО PC20/2 MF» (до −10 °C), другой код; техкарта зимней версии упомянута без ссылки. Цвет «Красный» — необычно для обрызга, стоит перепроверить.</t>
        </is>
      </c>
    </row>
    <row r="63">
      <c r="A63" s="7" t="inlineStr">
        <is>
          <t>Основит</t>
        </is>
      </c>
      <c r="B63" s="7" t="inlineStr">
        <is>
          <t>Штукатурки цементные и цементно-известковые (вкл. обрызг)</t>
        </is>
      </c>
      <c r="C63" s="7" t="inlineStr">
        <is>
          <t>да</t>
        </is>
      </c>
      <c r="D63" s="7" t="inlineStr">
        <is>
          <t>Основит Техно PC21 M</t>
        </is>
      </c>
      <c r="E63" s="7" t="inlineStr">
        <is>
          <t>Штукатурка цементная фасадная Основит Техно PC21 M 30 кг</t>
        </is>
      </c>
      <c r="F63" s="7" t="n">
        <v>1</v>
      </c>
      <c r="G63" s="7" t="inlineStr">
        <is>
          <t>ОСНОВИТ ТЕХНО PC21 M — цементная штукатурка для выравнивания стен из бетона, кирпича, пено- и газобетона.</t>
        </is>
      </c>
      <c r="H63" s="7" t="inlineStr">
        <is>
          <t>30 кг</t>
        </is>
      </c>
      <c r="I63" s="7" t="inlineStr">
        <is>
          <t>13 кг/м2</t>
        </is>
      </c>
      <c r="J63" s="7" t="inlineStr">
        <is>
          <t>5-30 мм</t>
        </is>
      </c>
      <c r="K63" s="7" t="inlineStr">
        <is>
          <t>ГОСТ 33083-2014</t>
        </is>
      </c>
      <c r="L63" s="7" t="inlineStr">
        <is>
          <t>есть</t>
        </is>
      </c>
      <c r="M63" s="7" t="inlineStr">
        <is>
          <t>серый</t>
        </is>
      </c>
      <c r="N63" s="7" t="inlineStr">
        <is>
          <t>https://osnovit.ru/catalog/shtukaturki/startvell-pc-21-m-shtukaturka-fasadnaya-osnovit-/</t>
        </is>
      </c>
      <c r="O63" s="7" t="inlineStr">
        <is>
          <t>Зимняя версия по тексту — «ОСНОВИТ ТЕХНО PC21/2 MF» (до −10 °C), другой код. URL «startvell-pc-21-m» — след прежнего имени (Стартвэлл). Противоречие сроков: «Срок хранения в бумажном мешке 12 месяцев» и «18 мес. (в бумажном мешке)». Референц-объекты: Открытие Арена, ЖК «Парковые Аллеи» и др.</t>
        </is>
      </c>
    </row>
    <row r="64">
      <c r="A64" s="7" t="inlineStr">
        <is>
          <t>Основит</t>
        </is>
      </c>
      <c r="B64" s="7" t="inlineStr">
        <is>
          <t>Штукатурки цементные и цементно-известковые (вкл. обрызг)</t>
        </is>
      </c>
      <c r="C64" s="7" t="inlineStr">
        <is>
          <t>да</t>
        </is>
      </c>
      <c r="D64" s="7" t="inlineStr">
        <is>
          <t>Основит Техно PC23 M</t>
        </is>
      </c>
      <c r="E64" s="7" t="inlineStr">
        <is>
          <t>Штукатурка шпаклевка цементная Основит Техно PC23 M</t>
        </is>
      </c>
      <c r="F64" s="7" t="n">
        <v>1</v>
      </c>
      <c r="G64" s="7" t="inlineStr">
        <is>
          <t>ОСНОВИТ ТЕХНО PC23 M — цементная штукатурка-шпаклевка для выравнивания стен из бетона, пено- и газобетона, а также поверхностей, ранее выровненных цементными составами.</t>
        </is>
      </c>
      <c r="H64" s="7" t="inlineStr">
        <is>
          <t>25 кг/30 кг</t>
        </is>
      </c>
      <c r="I64" s="7" t="inlineStr">
        <is>
          <t>12 кг/м²</t>
        </is>
      </c>
      <c r="J64" s="7" t="inlineStr">
        <is>
          <t>слоем от 1 до 30 мм</t>
        </is>
      </c>
      <c r="K64" s="7" t="inlineStr">
        <is>
          <t>КП II, F50, механизированного нанесения. Соответствует ГОСТ 33083-2014</t>
        </is>
      </c>
      <c r="L64" s="7" t="inlineStr">
        <is>
          <t>—</t>
        </is>
      </c>
      <c r="M64" s="7" t="inlineStr"/>
      <c r="N64" s="7" t="inlineStr">
        <is>
          <t>https://osnovit.ru/catalog/shtukaturki/tekhno-pc23-m/</t>
        </is>
      </c>
      <c r="O64" s="7" t="inlineStr">
        <is>
          <t>Комбинированный продукт «штукатурка-шпаклевка» — отнесён к plaster_cement (можно и putty_cement). Раздел производителя — «Серия ТЕХНО». Вес упаковки «25 кг/30 кг» — две фасовки. Расход дан при слое 10 мм.</t>
        </is>
      </c>
    </row>
    <row r="65">
      <c r="A65" s="7" t="inlineStr">
        <is>
          <t>Основит</t>
        </is>
      </c>
      <c r="B65" s="7" t="inlineStr">
        <is>
          <t>Штукатурки цементные и цементно-известковые (вкл. обрызг)</t>
        </is>
      </c>
      <c r="C65" s="7" t="inlineStr">
        <is>
          <t>да</t>
        </is>
      </c>
      <c r="D65" s="7" t="inlineStr">
        <is>
          <t>Основит Техно PC24/1 ML</t>
        </is>
      </c>
      <c r="E65" s="7" t="inlineStr">
        <is>
          <t>Штукатурка цементная Основит Техно PC24/1 ML 25 кг</t>
        </is>
      </c>
      <c r="F65" s="7" t="n">
        <v>1</v>
      </c>
      <c r="G65" s="7" t="inlineStr">
        <is>
          <t>ОСНОВИТ ТЕХНО PC24/1 ML — легкая цементная штукатурка на основе перлита для выравнивания стен из бетона, кирпича, пено- и газобетона.</t>
        </is>
      </c>
      <c r="H65" s="7" t="inlineStr">
        <is>
          <t>25 кг</t>
        </is>
      </c>
      <c r="I65" s="7" t="inlineStr">
        <is>
          <t>10-11 кг/м²</t>
        </is>
      </c>
      <c r="J65" s="7" t="inlineStr">
        <is>
          <t>10-30 мм</t>
        </is>
      </c>
      <c r="K65" s="7" t="inlineStr">
        <is>
          <t>ГОСТ 33083-2014</t>
        </is>
      </c>
      <c r="L65" s="7" t="inlineStr">
        <is>
          <t>—</t>
        </is>
      </c>
      <c r="M65" s="7" t="inlineStr">
        <is>
          <t>серый</t>
        </is>
      </c>
      <c r="N65" s="7" t="inlineStr">
        <is>
          <t>https://osnovit.ru/catalog/seria-techno/tsementnaya-shtukaturka-osnovit-tekhno-pc24-1-ml/</t>
        </is>
      </c>
      <c r="O65" s="7" t="inlineStr">
        <is>
          <t>Лёгкая штукатурка на перлите; КП II, F50; заявлены тепло- и звукоизоляционные свойства. Температура эксплуатации -40…+60 °С.</t>
        </is>
      </c>
    </row>
    <row r="66">
      <c r="A66" s="7" t="inlineStr">
        <is>
          <t>Dauer</t>
        </is>
      </c>
      <c r="B66" s="7" t="inlineStr">
        <is>
          <t>Шпаклёвки гипсовые</t>
        </is>
      </c>
      <c r="C66" s="7" t="inlineStr">
        <is>
          <t>да</t>
        </is>
      </c>
      <c r="D66" s="7" t="inlineStr">
        <is>
          <t>Dauer FINNER 43</t>
        </is>
      </c>
      <c r="E66" s="7" t="inlineStr">
        <is>
          <t>Dauer FINNER® 43W Шпатлевка гипсовая универсальная белая</t>
        </is>
      </c>
      <c r="F66" s="7" t="n">
        <v>1</v>
      </c>
      <c r="G66" s="7" t="inlineStr">
        <is>
          <t>Внутри сухих отапливаемых помещений для толстослойного и финишного выравнивания (слой от 1 до 20 мм) поверхности стен и потолков под дальнейшую отделку обоями и нанесения финишных декоративных покрытий; для заделки трещин, выбоин, раковин слоем до 20 мм, для заполнения швов ГВЛ, ГКЛ с обязательным применением армирующей ленты.</t>
        </is>
      </c>
      <c r="H66" s="7" t="inlineStr">
        <is>
          <t>20 кг.</t>
        </is>
      </c>
      <c r="I66" s="7" t="inlineStr">
        <is>
          <t>0,9 кг/м²</t>
        </is>
      </c>
      <c r="J66" s="7" t="inlineStr">
        <is>
          <t>слой от 1 до 20 мм</t>
        </is>
      </c>
      <c r="K66" s="7" t="inlineStr">
        <is>
          <t>ГОСТ Р 58278-2018</t>
        </is>
      </c>
      <c r="L66" s="7" t="inlineStr">
        <is>
          <t>—</t>
        </is>
      </c>
      <c r="M66" s="7" t="inlineStr"/>
      <c r="N66" s="7" t="inlineStr">
        <is>
          <t>https://dauer.ru/catalog/shpatlevki/finner-43/</t>
        </is>
      </c>
      <c r="O66" s="7" t="inlineStr">
        <is>
          <t>Расход 0,9 кг/м² указан на слой 1 мм. В описании слой 1–20 мм, в характеристиках рекомендуемый 1–15 мм и локально 20 мм. Полное наименование «Dauer Finner Между (Inter) 43 W». Документ подписан «Шпатлевка гипсовая выравнивающая белая», в h1 — «универсальная».</t>
        </is>
      </c>
    </row>
    <row r="67">
      <c r="A67" s="7" t="inlineStr">
        <is>
          <t>Perel</t>
        </is>
      </c>
      <c r="B67" s="7" t="inlineStr">
        <is>
          <t>Шпаклёвки гипсовые</t>
        </is>
      </c>
      <c r="C67" s="7" t="inlineStr">
        <is>
          <t>да</t>
        </is>
      </c>
      <c r="D67" s="7" t="inlineStr">
        <is>
          <t>Perel Plaster Wall</t>
        </is>
      </c>
      <c r="E67" s="7" t="inlineStr">
        <is>
          <t>Perel Plaster Wall, белая, 25 кг, шпаклевка гипсовая</t>
        </is>
      </c>
      <c r="F67" s="7" t="n">
        <v>1</v>
      </c>
      <c r="G67" s="7" t="inlineStr">
        <is>
          <t>Универсальная гипсовая шпаклевка для внутренних работ на основе природного гипса и европейских полимерных добавок для заделки стыков листов ГКЛ и ГВЛ и первичного выравнивания стен и потолков перед финишной отделкой.</t>
        </is>
      </c>
      <c r="H67" s="7" t="inlineStr">
        <is>
          <t>Бумажные крафт-мешки по 25 кг.</t>
        </is>
      </c>
      <c r="I67" s="7" t="inlineStr"/>
      <c r="J67" s="7" t="inlineStr">
        <is>
          <t>слоя шпатлевки толщиной 1-2 мм</t>
        </is>
      </c>
      <c r="K67" s="7" t="inlineStr"/>
      <c r="L67" s="7" t="inlineStr">
        <is>
          <t>—</t>
        </is>
      </c>
      <c r="M67" s="7" t="inlineStr"/>
      <c r="N67" s="7" t="inlineStr">
        <is>
          <t>https://td-perel.ru/catalog/gipsovaya_shpaklevka/shpaklevka-gipsovaya-perel-plaster-wall-belaya-25-kg/</t>
        </is>
      </c>
      <c r="O67" s="7" t="inlineStr">
        <is>
          <t>В лиде шпаклёвка названа «атмосферостойкая», хотя назначение — только внутренние работы в сухих помещениях. Расход не указан. Толщина 1-2 мм дана в контексте времени высыхания, рекомендованного слоя нет. Срок хранения 6 месяцев.</t>
        </is>
      </c>
    </row>
    <row r="68">
      <c r="A68" s="7" t="inlineStr">
        <is>
          <t>Основит</t>
        </is>
      </c>
      <c r="B68" s="7" t="inlineStr">
        <is>
          <t>Шпаклёвки гипсовые</t>
        </is>
      </c>
      <c r="C68" s="7" t="inlineStr">
        <is>
          <t>да</t>
        </is>
      </c>
      <c r="D68" s="7" t="inlineStr">
        <is>
          <t>Основит Версилк PG34 W</t>
        </is>
      </c>
      <c r="E68" s="7" t="inlineStr">
        <is>
          <t>Шпаклевка гипсовая универсальная белая Основит Версилк PG34 W 20 кг</t>
        </is>
      </c>
      <c r="F68" s="7" t="n">
        <v>1</v>
      </c>
      <c r="G68" s="7" t="inlineStr">
        <is>
          <t>Шпаклевка ОСНОВИТ ВЕРСИЛК PG34 W предназначена для заделки швов и стыков ГКЛ и ГВЛ, для выравнивания ГКЛ, ГВЛ, ПГП и СМЛ, а также для финишного выравнивания стен и потолков в сухих помещениях.</t>
        </is>
      </c>
      <c r="H68" s="7" t="inlineStr">
        <is>
          <t>20 кг</t>
        </is>
      </c>
      <c r="I68" s="7" t="inlineStr">
        <is>
          <t>0,8-0,9 кг/м²</t>
        </is>
      </c>
      <c r="J68" s="7" t="inlineStr">
        <is>
          <t>1-10 мм</t>
        </is>
      </c>
      <c r="K68" s="7" t="inlineStr"/>
      <c r="L68" s="7" t="inlineStr">
        <is>
          <t>—</t>
        </is>
      </c>
      <c r="M68" s="7" t="inlineStr"/>
      <c r="N68" s="7" t="inlineStr">
        <is>
          <t>https://osnovit.ru/catalog/shpaklevki/shpaklevka-gipsovaya-vyravnivayushchaya-belaya-versilk-pg-34-w/</t>
        </is>
      </c>
      <c r="O68" s="7" t="inlineStr">
        <is>
          <t>В отличие от соседних гипсовых шпаклёвок, строки «Смесь сухая … ГОСТ Р 58278» нет — ГОСТ не указан; сухая смесь следует из «Расход воды на 1 кг сухой смеси». Расход при слое 1 мм, при заделке швов — 0,26 кг/м². В преимуществах опечатка «ГЛК» (вместо ГКЛ), так на странице.</t>
        </is>
      </c>
    </row>
    <row r="69">
      <c r="A69" s="7" t="inlineStr">
        <is>
          <t>Основит</t>
        </is>
      </c>
      <c r="B69" s="7" t="inlineStr">
        <is>
          <t>Шпаклёвки гипсовые</t>
        </is>
      </c>
      <c r="C69" s="7" t="inlineStr">
        <is>
          <t>да</t>
        </is>
      </c>
      <c r="D69" s="7" t="inlineStr">
        <is>
          <t>Основит Шовсилк PG33 H</t>
        </is>
      </c>
      <c r="E69" s="7" t="inlineStr">
        <is>
          <t>Шпаклевка гипсовая высокопрочная для швов и стыков белая Основит Шовсилк PG33 H 20 кг</t>
        </is>
      </c>
      <c r="F69" s="7" t="n">
        <v>1</v>
      </c>
      <c r="G69" s="7" t="inlineStr">
        <is>
          <t>предназначена для заделки стыков, швов и возможных повреждений ГКЛ, ГВЛ, ПГП и СМЛ. Заделку стыковочных швов листов с полукруглой утонённой кромкой (ПЛУК) возможно производить без использования армирующих шовных лент.</t>
        </is>
      </c>
      <c r="H69" s="7" t="inlineStr">
        <is>
          <t>20 кг</t>
        </is>
      </c>
      <c r="I69" s="7" t="inlineStr">
        <is>
          <t>0,8-0,9 кг/м²</t>
        </is>
      </c>
      <c r="J69" s="7" t="inlineStr">
        <is>
          <t>до 10 мм</t>
        </is>
      </c>
      <c r="K69" s="7" t="inlineStr">
        <is>
          <t>ГОСТ Р 58278-2018</t>
        </is>
      </c>
      <c r="L69" s="7" t="inlineStr">
        <is>
          <t>—</t>
        </is>
      </c>
      <c r="M69" s="7" t="inlineStr"/>
      <c r="N69" s="7" t="inlineStr">
        <is>
          <t>https://osnovit.ru/catalog/shpaklevki/shovsilk-pg33-h-shpaklyevka-gipsovaya-vysokoprochnaya-osnovit/</t>
        </is>
      </c>
      <c r="O69" s="7" t="inlineStr">
        <is>
          <t>Расход дан при слое 1 мм. Прямой фразы «для внутренних работ» нет — только «Для помещений с нормальной влажностью». В тексте код набран с кириллической «Н» («PG33 Н»), в заголовке — латиница.</t>
        </is>
      </c>
    </row>
    <row r="70">
      <c r="A70" s="7" t="inlineStr">
        <is>
          <t>Основит</t>
        </is>
      </c>
      <c r="B70" s="7" t="inlineStr">
        <is>
          <t>Шпаклёвки гипсовые</t>
        </is>
      </c>
      <c r="C70" s="7" t="inlineStr">
        <is>
          <t>да</t>
        </is>
      </c>
      <c r="D70" s="7" t="inlineStr">
        <is>
          <t>Основит Эконсилк PG35 W</t>
        </is>
      </c>
      <c r="E70" s="7" t="inlineStr">
        <is>
          <t>Шпаклевка гипсовая финишная белая Основит Эконсилк PG35 W</t>
        </is>
      </c>
      <c r="F70" s="7" t="n">
        <v>1</v>
      </c>
      <c r="G70" s="7" t="inlineStr">
        <is>
          <t>Шпаклевка ОСНОВИТ ЭКОНСИЛК PG35 W предназначена для выравнивания стен и потолков, для заделки швов ГКЛ и ГВЛ.</t>
        </is>
      </c>
      <c r="H70" s="7" t="inlineStr">
        <is>
          <t>5, 10, 20 кг</t>
        </is>
      </c>
      <c r="I70" s="7" t="inlineStr">
        <is>
          <t>0,8-0,9 кг/м²</t>
        </is>
      </c>
      <c r="J70" s="7" t="inlineStr">
        <is>
          <t>0,1-5 мм</t>
        </is>
      </c>
      <c r="K70" s="7" t="inlineStr">
        <is>
          <t>ГОСТ Р 58278-2024</t>
        </is>
      </c>
      <c r="L70" s="7" t="inlineStr">
        <is>
          <t>—</t>
        </is>
      </c>
      <c r="M70" s="7" t="inlineStr"/>
      <c r="N70" s="7" t="inlineStr">
        <is>
          <t>https://osnovit.ru/catalog/shpaklevki/ekonsilk-pg35-w/</t>
        </is>
      </c>
      <c r="O70" s="7" t="inlineStr">
        <is>
          <t>Расход при слое 1 мм. ГОСТ Р 58278-2024 (у PG33 H и PG36 W — редакция 2018). Срок хранения разный для бумажного (6 мес.) и пластикового (12 мес.) мешка.</t>
        </is>
      </c>
    </row>
    <row r="71">
      <c r="A71" s="7" t="inlineStr">
        <is>
          <t>Основит</t>
        </is>
      </c>
      <c r="B71" s="7" t="inlineStr">
        <is>
          <t>Шпаклёвки гипсовые</t>
        </is>
      </c>
      <c r="C71" s="7" t="inlineStr">
        <is>
          <t>да</t>
        </is>
      </c>
      <c r="D71" s="7" t="inlineStr">
        <is>
          <t>Основит Элисилк PG36 W</t>
        </is>
      </c>
      <c r="E71" s="7" t="inlineStr">
        <is>
          <t>Шпаклевка гипсовая суперфинишная белая Основит Элисилк PG36 W</t>
        </is>
      </c>
      <c r="F71" s="7" t="n">
        <v>1</v>
      </c>
      <c r="G71" s="7" t="inlineStr">
        <is>
          <t>Шпаклевка ОСНОВИТ ЭЛИСИЛК PG36 W предназначена для окончательного выравнивания стен и потолков, для заделки швов ГКЛ и ГВЛ.</t>
        </is>
      </c>
      <c r="H71" s="7" t="inlineStr">
        <is>
          <t>5, 20 кг</t>
        </is>
      </c>
      <c r="I71" s="7" t="inlineStr">
        <is>
          <t>0,8-0,9 кг/м²</t>
        </is>
      </c>
      <c r="J71" s="7" t="inlineStr">
        <is>
          <t>0-4 мм</t>
        </is>
      </c>
      <c r="K71" s="7" t="inlineStr">
        <is>
          <t>ГОСТ Р 58278-2018</t>
        </is>
      </c>
      <c r="L71" s="7" t="inlineStr">
        <is>
          <t>—</t>
        </is>
      </c>
      <c r="M71" s="7" t="inlineStr"/>
      <c r="N71" s="7" t="inlineStr">
        <is>
          <t>https://osnovit.ru/catalog/shpaklevki/elisilk-t-36-belaya/</t>
        </is>
      </c>
      <c r="O71" s="7" t="inlineStr">
        <is>
          <t>Расход при слое 1 мм. Две фасовки (5 и 20 кг). Адрес карточки elisilk-t-36-belaya (старое имя «Т-36»).</t>
        </is>
      </c>
    </row>
    <row r="72">
      <c r="A72" s="7" t="inlineStr">
        <is>
          <t>Dauer</t>
        </is>
      </c>
      <c r="B72" s="7" t="inlineStr">
        <is>
          <t>Шпаклёвки цементные</t>
        </is>
      </c>
      <c r="C72" s="7" t="inlineStr">
        <is>
          <t>да</t>
        </is>
      </c>
      <c r="D72" s="7" t="inlineStr">
        <is>
          <t>Dauer FINNER 40</t>
        </is>
      </c>
      <c r="E72" s="7" t="inlineStr">
        <is>
          <t>Dauer FINNER® 40W Шпатлевка цементная армированная базовая белая</t>
        </is>
      </c>
      <c r="F72" s="7" t="n">
        <v>2</v>
      </c>
      <c r="G72" s="7" t="inlineStr">
        <is>
          <t>Для толстослойного и финишного выравнивания (слой от 1 до 15 мм) поверхности фасадов, стен и потолков внутри всех видов жилых и нежилых помещений, в т.ч. влажных и неотапливаемых: подвалы, балконы и лоджии, паркинги, лестничные пролеты, марши, склады, душевые и ванные комнаты.</t>
        </is>
      </c>
      <c r="H72" s="7" t="inlineStr">
        <is>
          <t>25 кг.</t>
        </is>
      </c>
      <c r="I72" s="7" t="inlineStr">
        <is>
          <t>0,9 кг/м2</t>
        </is>
      </c>
      <c r="J72" s="7" t="inlineStr">
        <is>
          <t>1 - 15 мм</t>
        </is>
      </c>
      <c r="K72" s="7" t="inlineStr">
        <is>
          <t>ГОСТ 33699-2015</t>
        </is>
      </c>
      <c r="L72" s="7" t="inlineStr">
        <is>
          <t>есть</t>
        </is>
      </c>
      <c r="M72" s="7" t="inlineStr"/>
      <c r="N72" s="7" t="inlineStr">
        <is>
          <t>https://dauer.ru/catalog/shpatlevki/finner-exter-40w-shpatlevka-tsementnaya-armirovannaya-bazovaya-belaya/</t>
        </is>
      </c>
      <c r="O72" s="7" t="inlineStr">
        <is>
          <t>Полное наименование «Dauer Finner Экстерьер (Exter) 40 W». Белый вариант FINNER 40 (см. 40G), характеристики совпадают. Есть зимняя версия. Расход 0,9 кг/м2 при слое 1 мм.</t>
        </is>
      </c>
    </row>
    <row r="73">
      <c r="A73" s="7" t="inlineStr">
        <is>
          <t>Dauer</t>
        </is>
      </c>
      <c r="B73" s="7" t="inlineStr">
        <is>
          <t>Шпаклёвки цементные</t>
        </is>
      </c>
      <c r="C73" s="7" t="inlineStr">
        <is>
          <t>да</t>
        </is>
      </c>
      <c r="D73" s="7" t="inlineStr">
        <is>
          <t>Dauer FINNER 41</t>
        </is>
      </c>
      <c r="E73" s="7" t="inlineStr">
        <is>
          <t>Dauer FINNER® 41G Шпатлевка цементная финишная серая</t>
        </is>
      </c>
      <c r="F73" s="7" t="n">
        <v>2</v>
      </c>
      <c r="G73" s="7" t="inlineStr">
        <is>
          <t>Для финишного выравнивания (слой от 0,2 до 5 мм) поверхности фасадов, стен и потолков, внутри всех видов помещений, в т.ч. влажных и неотапливаемых: подвалы, лоджии, балконы, паркинги, лестничные пролеты, марши, склады, душевые и ванные комнаты. Используется для выравнивания поверхности под нанесение финишных декоративных покрытий и многослойное окрашивание ЛКМ.</t>
        </is>
      </c>
      <c r="H73" s="7" t="inlineStr">
        <is>
          <t>20 кг.</t>
        </is>
      </c>
      <c r="I73" s="7" t="inlineStr">
        <is>
          <t>0,9 кг/м2</t>
        </is>
      </c>
      <c r="J73" s="7" t="inlineStr">
        <is>
          <t>0,2 - 5 мм</t>
        </is>
      </c>
      <c r="K73" s="7" t="inlineStr">
        <is>
          <t>ГОСТ 33699-2015</t>
        </is>
      </c>
      <c r="L73" s="7" t="inlineStr">
        <is>
          <t>—</t>
        </is>
      </c>
      <c r="M73" s="7" t="inlineStr"/>
      <c r="N73" s="7" t="inlineStr">
        <is>
          <t>https://dauer.ru/catalog/shpatlevki/finner-exter-41g-shpatlevka-tsementnaya-finishnaya-seraya/</t>
        </is>
      </c>
      <c r="O73" s="7" t="inlineStr">
        <is>
          <t>Полное наименование «Dauer Finner Экстерьер (Exter) 41 G». Финишная, слой 0,2–5 мм, срок годности не менее 9 месяцев; зимняя версия не упомянута. В списке линейки на странице есть FINNER 41W (белая финишная) и 43W (гипсовая) — не в этой пачке; 41W при появлении — тот же series_key «Dauer FINNER 41».</t>
        </is>
      </c>
    </row>
    <row r="74">
      <c r="A74" s="7" t="inlineStr">
        <is>
          <t>Perel</t>
        </is>
      </c>
      <c r="B74" s="7" t="inlineStr">
        <is>
          <t>Шпаклёвки цементные</t>
        </is>
      </c>
      <c r="C74" s="7" t="inlineStr">
        <is>
          <t>да</t>
        </is>
      </c>
      <c r="D74" s="7" t="inlineStr">
        <is>
          <t>Perel FACADE-B</t>
        </is>
      </c>
      <c r="E74" s="7" t="inlineStr">
        <is>
          <t>Perel FACADE-B, белая, 20 кг, шпатлевка цементная</t>
        </is>
      </c>
      <c r="F74" s="7" t="n">
        <v>1</v>
      </c>
      <c r="G74" s="7" t="inlineStr">
        <is>
          <t>Атмосферостойкая шпатлевка на основе белого цемента, микромрамора и европейских полимерных добавок для финишной отделки стен и потолков перед высококачественной покраской фасадов и влажных помещений зданий.</t>
        </is>
      </c>
      <c r="H74" s="7" t="inlineStr">
        <is>
          <t>Бумажные крафт-мешки по 25 кг.</t>
        </is>
      </c>
      <c r="I74" s="7" t="inlineStr">
        <is>
          <t>0,9-1,1 кг на м2 поверхности при толщине слоя 1 мм.</t>
        </is>
      </c>
      <c r="J74" s="7" t="inlineStr"/>
      <c r="K74" s="7" t="inlineStr"/>
      <c r="L74" s="7" t="inlineStr">
        <is>
          <t>—</t>
        </is>
      </c>
      <c r="M74" s="7" t="inlineStr">
        <is>
          <t>белая</t>
        </is>
      </c>
      <c r="N74" s="7" t="inlineStr">
        <is>
          <t>https://td-perel.ru/catalog/tsementnaya_shpaklevka/shpatlevka-tsementnaya-perel-facade-b-belaya-20-kg/</t>
        </is>
      </c>
      <c r="O74" s="7" t="inlineStr">
        <is>
          <t>РАСХОЖДЕНИЕ ФАСОВКИ: в названии «20 кг», в упаковке «Бумажные крафт-мешки по 25 кг» и вода «на 25 кг сухой смеси». В блоке характеристик только артикул.</t>
        </is>
      </c>
    </row>
    <row r="75">
      <c r="A75" s="7" t="inlineStr">
        <is>
          <t>Perel</t>
        </is>
      </c>
      <c r="B75" s="7" t="inlineStr">
        <is>
          <t>Шпаклёвки цементные</t>
        </is>
      </c>
      <c r="C75" s="7" t="inlineStr">
        <is>
          <t>да</t>
        </is>
      </c>
      <c r="D75" s="7" t="inlineStr">
        <is>
          <t>Perel FACADE-C</t>
        </is>
      </c>
      <c r="E75" s="7" t="inlineStr">
        <is>
          <t>Perel FACADE-C, серая, 25 кг, шпатлевка цементная</t>
        </is>
      </c>
      <c r="F75" s="7" t="n">
        <v>1</v>
      </c>
      <c r="G75" s="7" t="inlineStr">
        <is>
          <t>Ремонтная шпатлевочная смесь на основе цемента, мытого белого песка и европейских полимерных добавок, для заделки раковин и трещин стен и потолков перед финишной отделкой фасадов и помещений с любой влажностью.</t>
        </is>
      </c>
      <c r="H75" s="7" t="inlineStr">
        <is>
          <t>Бумажные крафт-мешки по 25 кг.</t>
        </is>
      </c>
      <c r="I75" s="7" t="inlineStr">
        <is>
          <t>1,5-1,7 кг/м2 поверхности при толщине слоя 1 мм.</t>
        </is>
      </c>
      <c r="J75" s="7" t="inlineStr"/>
      <c r="K75" s="7" t="inlineStr"/>
      <c r="L75" s="7" t="inlineStr">
        <is>
          <t>—</t>
        </is>
      </c>
      <c r="M75" s="7" t="inlineStr">
        <is>
          <t>серая</t>
        </is>
      </c>
      <c r="N75" s="7" t="inlineStr">
        <is>
          <t>https://td-perel.ru/catalog/tsementnaya_shpaklevka/shpatlevka-tsementnaya-facade-c-seraya-25-kg/</t>
        </is>
      </c>
      <c r="O75" s="7" t="inlineStr">
        <is>
          <t>Короткое описание — «для финишной отделки», полное — «ремонтная… для заделки раковин и трещин» (базовая/ремонтная, не финишная). Время высыхания слоя 6 мм ~2-3 суток. В блоке характеристик только артикул. FACADE-B и FACADE-C — разные продукты (разный состав), series_key разведены.</t>
        </is>
      </c>
    </row>
    <row r="76">
      <c r="A76" s="7" t="inlineStr">
        <is>
          <t>Основит</t>
        </is>
      </c>
      <c r="B76" s="7" t="inlineStr">
        <is>
          <t>Шпаклёвки цементные</t>
        </is>
      </c>
      <c r="C76" s="7" t="inlineStr">
        <is>
          <t>да</t>
        </is>
      </c>
      <c r="D76" s="7" t="inlineStr">
        <is>
          <t>Основит Базсилк PC30</t>
        </is>
      </c>
      <c r="E76" s="7" t="inlineStr">
        <is>
          <t>Шпаклевка цементная фасадная универсальная белая Основит Базсилк PC30 MW 20 кг</t>
        </is>
      </c>
      <c r="F76" s="7" t="n">
        <v>2</v>
      </c>
      <c r="G76" s="7" t="inlineStr">
        <is>
          <t>Шпаклевка ОСНОВИТ БАЗСИЛК PC30 MW предназначена для выравнивания стен и потолков в сухих и влажных помещениях, фасадов, цоколей.</t>
        </is>
      </c>
      <c r="H76" s="7" t="inlineStr">
        <is>
          <t>20 кг</t>
        </is>
      </c>
      <c r="I76" s="7" t="inlineStr">
        <is>
          <t>1,2 кг/м²</t>
        </is>
      </c>
      <c r="J76" s="7" t="inlineStr">
        <is>
          <t>1-10 мм</t>
        </is>
      </c>
      <c r="K76" s="7" t="inlineStr">
        <is>
          <t>180/10, ГОСТ 33699-2015</t>
        </is>
      </c>
      <c r="L76" s="7" t="inlineStr">
        <is>
          <t>—</t>
        </is>
      </c>
      <c r="M76" s="7" t="inlineStr"/>
      <c r="N76" s="7" t="inlineStr">
        <is>
          <t>https://osnovit.ru/catalog/shpaklevki/bazsilk-t-30/</t>
        </is>
      </c>
      <c r="O76" s="7" t="inlineStr">
        <is>
          <t>Пара по цвету с Базсилк PC30 MG (серая) — один series_key. Расход при слое 1 мм. Есть ещё карточка «БАЗСИЛК PC30 MW (Н)» с расходящимися характеристиками (см. отдельную запись).</t>
        </is>
      </c>
    </row>
    <row r="77">
      <c r="A77" s="7" t="inlineStr">
        <is>
          <t>Основит</t>
        </is>
      </c>
      <c r="B77" s="7" t="inlineStr">
        <is>
          <t>Шпаклёвки цементные</t>
        </is>
      </c>
      <c r="C77" s="7" t="inlineStr">
        <is>
          <t>да</t>
        </is>
      </c>
      <c r="D77" s="7" t="inlineStr">
        <is>
          <t>Основит Белсилк PC32 W</t>
        </is>
      </c>
      <c r="E77" s="7" t="inlineStr">
        <is>
          <t>Шпаклевка цементная финишная белая Основит Белсилк PC32 W</t>
        </is>
      </c>
      <c r="F77" s="7" t="n">
        <v>1</v>
      </c>
      <c r="G77" s="7" t="inlineStr">
        <is>
          <t>предназначена для финишного выравнивания фасадов зданий, стен и потолков в сухих и влажных помещениях.</t>
        </is>
      </c>
      <c r="H77" s="7" t="inlineStr">
        <is>
          <t>5, 20 кг</t>
        </is>
      </c>
      <c r="I77" s="7" t="inlineStr">
        <is>
          <t>1,2 кг/м²</t>
        </is>
      </c>
      <c r="J77" s="7" t="inlineStr">
        <is>
          <t>0-4 мм</t>
        </is>
      </c>
      <c r="K77" s="7" t="inlineStr">
        <is>
          <t>180/10, ГОСТ 33699-2015</t>
        </is>
      </c>
      <c r="L77" s="7" t="inlineStr">
        <is>
          <t>—</t>
        </is>
      </c>
      <c r="M77" s="7" t="inlineStr"/>
      <c r="N77" s="7" t="inlineStr">
        <is>
          <t>https://osnovit.ru/catalog/shpaklevki/belsilk-t-32/</t>
        </is>
      </c>
      <c r="O77" s="7" t="inlineStr">
        <is>
          <t>Финишная белая цементная; серый аналог — Грейсилк PC31 G (другое имя и код, отдельный series_key). В тексте код «РС32» кириллицей. Расход при слое 1 мм.</t>
        </is>
      </c>
    </row>
    <row r="78">
      <c r="A78" s="7" t="inlineStr">
        <is>
          <t>Основит</t>
        </is>
      </c>
      <c r="B78" s="7" t="inlineStr">
        <is>
          <t>Шпаклёвки цементные</t>
        </is>
      </c>
      <c r="C78" s="7" t="inlineStr">
        <is>
          <t>да</t>
        </is>
      </c>
      <c r="D78" s="7" t="inlineStr">
        <is>
          <t>Основит Грейсилк PC31 G</t>
        </is>
      </c>
      <c r="E78" s="7" t="inlineStr">
        <is>
          <t>Шпаклевка цементная финишная серая Основит Грейсилк PC31 G 20 кг</t>
        </is>
      </c>
      <c r="F78" s="7" t="n">
        <v>1</v>
      </c>
      <c r="G78" s="7" t="inlineStr">
        <is>
          <t>предназначена для финишного выравнивания фасадов, стен и потолков в сухих и влажных помещениях.</t>
        </is>
      </c>
      <c r="H78" s="7" t="inlineStr">
        <is>
          <t>20 кг</t>
        </is>
      </c>
      <c r="I78" s="7" t="inlineStr">
        <is>
          <t>1,3 кг/м²</t>
        </is>
      </c>
      <c r="J78" s="7" t="inlineStr">
        <is>
          <t>0-4 мм</t>
        </is>
      </c>
      <c r="K78" s="7" t="inlineStr">
        <is>
          <t>180/6, ГОСТ 33699-2015</t>
        </is>
      </c>
      <c r="L78" s="7" t="inlineStr">
        <is>
          <t>—</t>
        </is>
      </c>
      <c r="M78" s="7" t="inlineStr"/>
      <c r="N78" s="7" t="inlineStr">
        <is>
          <t>https://osnovit.ru/catalog/shpaklevki/greysilk-t-31/</t>
        </is>
      </c>
      <c r="O78" s="7" t="inlineStr">
        <is>
          <t>Финишная серая цементная, марка 180/6 (у Белсилк PC32 W — 180/10). В тексте код «РС31» кириллицей. Расход при слое 1 мм.</t>
        </is>
      </c>
    </row>
    <row r="79">
      <c r="A79" s="7" t="inlineStr">
        <is>
          <t>Perel</t>
        </is>
      </c>
      <c r="B79" s="7" t="inlineStr">
        <is>
          <t>Шпаклёвки полимерные (сухие)</t>
        </is>
      </c>
      <c r="C79" s="7" t="inlineStr">
        <is>
          <t>да</t>
        </is>
      </c>
      <c r="D79" s="7" t="inlineStr">
        <is>
          <t>Perel FINISH</t>
        </is>
      </c>
      <c r="E79" s="7" t="inlineStr">
        <is>
          <t>Perel FINISH, супербелая, 20 кг, шпатлевка полимерная финишная</t>
        </is>
      </c>
      <c r="F79" s="7" t="n">
        <v>1</v>
      </c>
      <c r="G79" s="7" t="inlineStr">
        <is>
          <t>Супербелая, трещиноустойчивая полимерная шпатлевка для финишной отделки стен и потолков. Для внутренних работ в сухих помещениях.</t>
        </is>
      </c>
      <c r="H79" s="7" t="inlineStr">
        <is>
          <t>Бумажные крафт-мешки по 20 кг.</t>
        </is>
      </c>
      <c r="I79" s="7" t="inlineStr">
        <is>
          <t>1,1-1,2 кг/м² поверхности при толщине слоя 1 мм.</t>
        </is>
      </c>
      <c r="J79" s="7" t="inlineStr"/>
      <c r="K79" s="7" t="inlineStr"/>
      <c r="L79" s="7" t="inlineStr">
        <is>
          <t>—</t>
        </is>
      </c>
      <c r="M79" s="7" t="inlineStr"/>
      <c r="N79" s="7" t="inlineStr">
        <is>
          <t>https://td-perel.ru/catalog/polimernaya_shpaklevka/shpatlevka-polimernaya-finishnaya-perel-finish-superbelaya-20-kg/</t>
        </is>
      </c>
      <c r="O79" s="7" t="inlineStr">
        <is>
          <t>Блок характеристик содержит только артикул; толщина слоя, ГОСТ, прочность/адгезия не указаны. В названии «шпатлевка», в разделе каталога «Полимерная шпаклевка».</t>
        </is>
      </c>
    </row>
    <row r="80">
      <c r="A80" s="7" t="inlineStr">
        <is>
          <t>Основит</t>
        </is>
      </c>
      <c r="B80" s="7" t="inlineStr">
        <is>
          <t>Шпаклёвки полимерные (сухие)</t>
        </is>
      </c>
      <c r="C80" s="7" t="inlineStr">
        <is>
          <t>да</t>
        </is>
      </c>
      <c r="D80" s="7" t="inlineStr">
        <is>
          <t>Основит Эконсилк PP38 W</t>
        </is>
      </c>
      <c r="E80" s="7" t="inlineStr">
        <is>
          <t>Шпаклевка полимерная финишная супербелая Основит Эконсилк PP38 W</t>
        </is>
      </c>
      <c r="F80" s="7" t="n">
        <v>1</v>
      </c>
      <c r="G80" s="7" t="inlineStr">
        <is>
          <t>Шпаклевка ОСНОВИТ Эконсилк PP38 W предназначена для выравнивания стен и потолков в сухих и влажных помещениях.</t>
        </is>
      </c>
      <c r="H80" s="7" t="inlineStr">
        <is>
          <t>5, 20 кг</t>
        </is>
      </c>
      <c r="I80" s="7" t="inlineStr">
        <is>
          <t>1,1 кг/м²</t>
        </is>
      </c>
      <c r="J80" s="7" t="inlineStr">
        <is>
          <t>0,5-5 мм</t>
        </is>
      </c>
      <c r="K80" s="7" t="inlineStr"/>
      <c r="L80" s="7" t="inlineStr">
        <is>
          <t>—</t>
        </is>
      </c>
      <c r="M80" s="7" t="inlineStr"/>
      <c r="N80" s="7" t="inlineStr">
        <is>
          <t>https://osnovit.ru/catalog/shpaklevki/ekonsilk-PP-38-W/</t>
        </is>
      </c>
      <c r="O80" s="7" t="inlineStr">
        <is>
          <t>Сухая полимерная, ГОСТ не указан. В составе натуральный мрамор, жизнеспособность 24 часа. Расход при слое 1 мм.</t>
        </is>
      </c>
    </row>
    <row r="81">
      <c r="A81" s="7" t="inlineStr">
        <is>
          <t>Основит</t>
        </is>
      </c>
      <c r="B81" s="7" t="inlineStr">
        <is>
          <t>Шпаклёвки полимерные (сухие)</t>
        </is>
      </c>
      <c r="C81" s="7" t="inlineStr">
        <is>
          <t>да</t>
        </is>
      </c>
      <c r="D81" s="7" t="inlineStr">
        <is>
          <t>Основит Элисилк PP37 W</t>
        </is>
      </c>
      <c r="E81" s="7" t="inlineStr">
        <is>
          <t>Шпаклевка полимерная суперфинишная супербелая Основит Элисилк PP37 W 20 кг</t>
        </is>
      </c>
      <c r="F81" s="7" t="n">
        <v>1</v>
      </c>
      <c r="G81" s="7" t="inlineStr">
        <is>
          <t>Шпаклевка ОСНОВИТ ЭЛИСИЛК PP37 W предназначена для окончательного выравнивания стен и потолков в сухих и влажных помещениях.</t>
        </is>
      </c>
      <c r="H81" s="7" t="inlineStr">
        <is>
          <t>20 кг</t>
        </is>
      </c>
      <c r="I81" s="7" t="inlineStr">
        <is>
          <t>1 кг/м²</t>
        </is>
      </c>
      <c r="J81" s="7" t="inlineStr">
        <is>
          <t>0-2 мм</t>
        </is>
      </c>
      <c r="K81" s="7" t="inlineStr"/>
      <c r="L81" s="7" t="inlineStr">
        <is>
          <t>—</t>
        </is>
      </c>
      <c r="M81" s="7" t="inlineStr"/>
      <c r="N81" s="7" t="inlineStr">
        <is>
          <t>https://osnovit.ru/catalog/shpaklevki/elisilk-PP37/</t>
        </is>
      </c>
      <c r="O81" s="7" t="inlineStr">
        <is>
          <t>Сухая полимерная (мешок; есть «Расход воды на 1 кг сухой смеси», хранение в бумажном/пластиковом мешке). ГОСТ не указан. В составе натуральный мрамор, жизнеспособность 24 часа. Расход при слое 1 мм.</t>
        </is>
      </c>
    </row>
    <row r="82">
      <c r="A82" s="7" t="inlineStr">
        <is>
          <t>Dauer</t>
        </is>
      </c>
      <c r="B82" s="7" t="inlineStr">
        <is>
          <t>Плиточные клеи</t>
        </is>
      </c>
      <c r="C82" s="7" t="inlineStr">
        <is>
          <t>да</t>
        </is>
      </c>
      <c r="D82" s="7" t="inlineStr">
        <is>
          <t>Dauer CONECTOR 02</t>
        </is>
      </c>
      <c r="E82" s="7" t="inlineStr">
        <is>
          <t>Dauer CONECTOR® 02 Клей Оптимум C0 Т</t>
        </is>
      </c>
      <c r="F82" s="7" t="n">
        <v>1</v>
      </c>
      <c r="G82" s="7" t="inlineStr">
        <is>
          <t>Для укладки на пол и стены керамической плитки по ГОСТ 13996 (со средним и высоким водопоглощением) и других облицовочных материалов с водопоглощением не менее 5%. Применяется внутри помещений с любым уровнем влажности.</t>
        </is>
      </c>
      <c r="H82" s="7" t="inlineStr">
        <is>
          <t>25 кг.</t>
        </is>
      </c>
      <c r="I82" s="7" t="inlineStr">
        <is>
          <t>1,3 – 1,4 кг/м²</t>
        </is>
      </c>
      <c r="J82" s="7" t="inlineStr">
        <is>
          <t>2 – 8 мм</t>
        </is>
      </c>
      <c r="K82" s="7" t="inlineStr">
        <is>
          <t>ГОСТ Р 56387</t>
        </is>
      </c>
      <c r="L82" s="7" t="inlineStr">
        <is>
          <t>есть</t>
        </is>
      </c>
      <c r="M82" s="7" t="inlineStr"/>
      <c r="N82" s="7" t="inlineStr">
        <is>
          <t>https://dauer.ru/catalog/plitochnye-klei/conector-02/</t>
        </is>
      </c>
      <c r="O82" s="7" t="inlineStr">
        <is>
          <t>Класс — только в названии: «C0 Т». Полное наименование «Dauer Conector Дом (Home) 02». Только внутренние работы. Есть зимняя версия. Таблицы расхода по зубцу нет — только расход 1,3 – 1,4 кг/м² на 1 мм слоя.</t>
        </is>
      </c>
    </row>
    <row r="83">
      <c r="A83" s="7" t="inlineStr">
        <is>
          <t>Dauer</t>
        </is>
      </c>
      <c r="B83" s="7" t="inlineStr">
        <is>
          <t>Плиточные клеи</t>
        </is>
      </c>
      <c r="C83" s="7" t="inlineStr">
        <is>
          <t>да</t>
        </is>
      </c>
      <c r="D83" s="7" t="inlineStr">
        <is>
          <t>Dauer CONECTOR 14</t>
        </is>
      </c>
      <c r="E83" s="7" t="inlineStr">
        <is>
          <t>Dauer CONECTOR® 14 Клей Армированный С1 TЕ</t>
        </is>
      </c>
      <c r="F83" s="7" t="n">
        <v>1</v>
      </c>
      <c r="G83" s="7" t="inlineStr">
        <is>
          <t>Для выполнения работ по облицовке фасадов выше цокольной части и помещений с любым уровнем влажности. Применяется для укладки керамической плитки, керамогранита и натурального камня весом до 150 кг/м2.</t>
        </is>
      </c>
      <c r="H83" s="7" t="inlineStr">
        <is>
          <t>25 кг.</t>
        </is>
      </c>
      <c r="I83" s="7" t="inlineStr">
        <is>
          <t>1,3 – 1,4 кг/м²</t>
        </is>
      </c>
      <c r="J83" s="7" t="inlineStr">
        <is>
          <t>2 – 15 мм</t>
        </is>
      </c>
      <c r="K83" s="7" t="inlineStr">
        <is>
          <t>ГОСТ Р 56387</t>
        </is>
      </c>
      <c r="L83" s="7" t="inlineStr">
        <is>
          <t>есть</t>
        </is>
      </c>
      <c r="M83" s="7" t="inlineStr"/>
      <c r="N83" s="7" t="inlineStr">
        <is>
          <t>https://dauer.ru/catalog/plitochnye-klei/conector-14/</t>
        </is>
      </c>
      <c r="O83" s="7" t="inlineStr">
        <is>
          <t xml:space="preserve">Класс — только в названии: «С1 TЕ» (армированный). Полное наименование «Dauer Conector Следующий (Next) 14 Фасад (Fasad)». Таблица расхода по зубцу: до 120 мм / 4 мм — 2,6 кг/м2; до 330 мм / 6 мм — 3,9; до 450 мм / 8 мм — 5,2; до 600 мм / 10 мм — 6,5. Странность: прочность после водной среды, высоких температур и замораживания помечена «не более 0,5 МПа» (по смыслу «не менее»). Есть зимняя версия </t>
        </is>
      </c>
    </row>
    <row r="84">
      <c r="A84" s="7" t="inlineStr">
        <is>
          <t>Dauer</t>
        </is>
      </c>
      <c r="B84" s="7" t="inlineStr">
        <is>
          <t>Плиточные клеи</t>
        </is>
      </c>
      <c r="C84" s="7" t="inlineStr">
        <is>
          <t>да</t>
        </is>
      </c>
      <c r="D84" s="7" t="inlineStr">
        <is>
          <t>Dauer CONECTOR 22</t>
        </is>
      </c>
      <c r="E84" s="7" t="inlineStr">
        <is>
          <t>Dauer CONECTOR® 22 Клей высокоэффективный С2 T</t>
        </is>
      </c>
      <c r="F84" s="7" t="n">
        <v>1</v>
      </c>
      <c r="G84" s="7" t="inlineStr">
        <is>
          <t>Для наружных и внутренних облицовочных работ фасадов зданий и сооружений (включая цокольную часть) крупноформатными облицовочными материалами (керамическая и клинкерная плитка, натуральный камень и керамогранит).</t>
        </is>
      </c>
      <c r="H84" s="7" t="inlineStr">
        <is>
          <t>25 кг.</t>
        </is>
      </c>
      <c r="I84" s="7" t="inlineStr">
        <is>
          <t>1,3 – 1,4 кг/м²</t>
        </is>
      </c>
      <c r="J84" s="7" t="inlineStr">
        <is>
          <t>2 – 20 мм</t>
        </is>
      </c>
      <c r="K84" s="7" t="inlineStr">
        <is>
          <t>ГОСТ Р 56387</t>
        </is>
      </c>
      <c r="L84" s="7" t="inlineStr">
        <is>
          <t>есть</t>
        </is>
      </c>
      <c r="M84" s="7" t="inlineStr"/>
      <c r="N84" s="7" t="inlineStr">
        <is>
          <t>https://dauer.ru/catalog/plitochnye-klei/conector-force-22-kley-vysokoeffektivnyy-s2-t-gost-r-56387/</t>
        </is>
      </c>
      <c r="O84" s="7" t="inlineStr">
        <is>
          <t>Класс — только в названии: «С2 T». Полное наименование «Dauer Conector Сила (Force) 22». Таблица расхода по зубцу: до 330 мм / 4 мм — 2,6 кг/м2; до 450 / 6 — 3,9; до 600 / 8 — 5,2; до 1200 / 10 — 6,5. Есть зимняя версия. Может применяться для монтажа теплоизоляционных плит. Жизнеспособность записана «4 часов».</t>
        </is>
      </c>
    </row>
    <row r="85">
      <c r="A85" s="7" t="inlineStr">
        <is>
          <t>Dauer</t>
        </is>
      </c>
      <c r="B85" s="7" t="inlineStr">
        <is>
          <t>Плиточные клеи</t>
        </is>
      </c>
      <c r="C85" s="7" t="inlineStr">
        <is>
          <t>да</t>
        </is>
      </c>
      <c r="D85" s="7" t="inlineStr">
        <is>
          <t>Dauer CONECTOR 22 Макс</t>
        </is>
      </c>
      <c r="E85" s="7" t="inlineStr">
        <is>
          <t>Dauer CONECTOR® 22 Макс Клей Армированный С2 TЕ</t>
        </is>
      </c>
      <c r="F85" s="7" t="n">
        <v>1</v>
      </c>
      <c r="G85" s="7" t="inlineStr">
        <is>
          <t>Для наружных и внутренних облицовочных работ фасадов зданий и сооружений (включая цокольную часть) крупноформатными облицовочными материалами (керамическая и клинкерная плитка, натуральный камень и керамогранит).</t>
        </is>
      </c>
      <c r="H85" s="7" t="inlineStr">
        <is>
          <t>25 кг.</t>
        </is>
      </c>
      <c r="I85" s="7" t="inlineStr">
        <is>
          <t>1,3 – 1,4 кг/м²</t>
        </is>
      </c>
      <c r="J85" s="7" t="inlineStr">
        <is>
          <t>2 – 20 мм</t>
        </is>
      </c>
      <c r="K85" s="7" t="inlineStr">
        <is>
          <t>ГОСТ Р 56387</t>
        </is>
      </c>
      <c r="L85" s="7" t="inlineStr">
        <is>
          <t>—</t>
        </is>
      </c>
      <c r="M85" s="7" t="inlineStr"/>
      <c r="N85" s="7" t="inlineStr">
        <is>
          <t>https://dauer.ru/catalog/plitochnye-klei/conector-22-max/</t>
        </is>
      </c>
      <c r="O85" s="7" t="inlineStr">
        <is>
          <t>Класс — только в названии: «С2 TЕ». Полное наименование «Dauer Conector Сила (Force) 22 Макс (Max)». Отдельный продукт от CONECTOR 22 (жизнеспособность 7 часов, открытое время 30 минут, «Максимально эффективен при облицовке больших площадей»). Зимняя версия на странице не упомянута. Таблица расхода по зубцу — как у CONECTOR 22 (2,6 / 3,9 / 5,2 / 6,5 кг/м2).</t>
        </is>
      </c>
    </row>
    <row r="86">
      <c r="A86" s="7" t="inlineStr">
        <is>
          <t>Dauer</t>
        </is>
      </c>
      <c r="B86" s="7" t="inlineStr">
        <is>
          <t>Плиточные клеи</t>
        </is>
      </c>
      <c r="C86" s="7" t="inlineStr">
        <is>
          <t>да</t>
        </is>
      </c>
      <c r="D86" s="7" t="inlineStr">
        <is>
          <t>Dauer CONECTOR Плюс</t>
        </is>
      </c>
      <c r="E86" s="7" t="inlineStr">
        <is>
          <t>Dauer CONECTOR® Плюс Клей Универсальный C1 T</t>
        </is>
      </c>
      <c r="F86" s="7" t="n">
        <v>1</v>
      </c>
      <c r="G86" s="7" t="inlineStr">
        <is>
          <t>Для укладки на пол и стены керамической и клинкерной плитки, керамогранита и натурального камня (кроме мрамора, базальта, габбро) весом до 80 кг/м².</t>
        </is>
      </c>
      <c r="H86" s="7" t="inlineStr">
        <is>
          <t>25/40 кг.</t>
        </is>
      </c>
      <c r="I86" s="7" t="inlineStr">
        <is>
          <t>1,3 – 1,4 кг/м²</t>
        </is>
      </c>
      <c r="J86" s="7" t="inlineStr">
        <is>
          <t>2 – 15 мм</t>
        </is>
      </c>
      <c r="K86" s="7" t="inlineStr">
        <is>
          <t>ГОСТ Р 56387</t>
        </is>
      </c>
      <c r="L86" s="7" t="inlineStr">
        <is>
          <t>есть</t>
        </is>
      </c>
      <c r="M86" s="7" t="inlineStr"/>
      <c r="N86" s="7" t="inlineStr">
        <is>
          <t>https://dauer.ru/catalog/plitochnye-klei/conector-home-plus-kley-universalnyy-c1-gost-r-56387-2018/</t>
        </is>
      </c>
      <c r="O86" s="7" t="inlineStr">
        <is>
          <t>Класс — только в названии: «C1 T». Полное наименование «Dauer Conector Дом (Home) Плюс (Plus)». Фасовка 25 и 40 кг. Таблица расхода по зубцу: до 15 см / 4 мм — 2,4 кг/м2; до 30 см / 6 мм — 3,6; до 45 см / 8 мм — 4,8; до 60 см / 10 мм — 6,0. Максимальная грань керамогранита 60 см. Есть зимняя версия.</t>
        </is>
      </c>
    </row>
    <row r="87">
      <c r="A87" s="7" t="inlineStr">
        <is>
          <t>Perel</t>
        </is>
      </c>
      <c r="B87" s="7" t="inlineStr">
        <is>
          <t>Плиточные клеи</t>
        </is>
      </c>
      <c r="C87" s="7" t="inlineStr">
        <is>
          <t>да</t>
        </is>
      </c>
      <c r="D87" s="7" t="inlineStr">
        <is>
          <t>Perel BASIS C0</t>
        </is>
      </c>
      <c r="E87" s="7" t="inlineStr">
        <is>
          <t>Perel BASIS C0, 25 кг, клеевая смесь</t>
        </is>
      </c>
      <c r="F87" s="7" t="n">
        <v>1</v>
      </c>
      <c r="G87" s="7" t="inlineStr">
        <is>
          <t>Клеевая смесь Perel Basis C0 на основе цемента с добавлением химических добавок для укладки на пол и стены всех видов керамической плитки.</t>
        </is>
      </c>
      <c r="H87" s="7" t="inlineStr">
        <is>
          <t>Бумажные крафт-мешки 25 кг.</t>
        </is>
      </c>
      <c r="I87" s="7" t="inlineStr">
        <is>
          <t>3,5-5,0 кг смеси на м2 при использовании зубчатого шпателя 6×6 мм.</t>
        </is>
      </c>
      <c r="J87" s="7" t="inlineStr">
        <is>
          <t>слоем 3-5 мм</t>
        </is>
      </c>
      <c r="K87" s="7" t="inlineStr">
        <is>
          <t>C0</t>
        </is>
      </c>
      <c r="L87" s="7" t="inlineStr">
        <is>
          <t>—</t>
        </is>
      </c>
      <c r="M87" s="7" t="inlineStr"/>
      <c r="N87" s="7" t="inlineStr">
        <is>
          <t>https://td-perel.ru/catalog/klei-dlya-plitki-i-kamnya/kleevaya-smes-perel-basis-c0-25-kg/</t>
        </is>
      </c>
      <c r="O87" s="7" t="inlineStr">
        <is>
          <t>РАСХОЖДЕНИЕ: в лиде «Для наружных и внутренних работ», в описании «Для внутренних работ.» Класс C0 есть только в названии, ГОСТ не указан. Жизнеспособность 90 минут. В «Характеристиках» только артикул.</t>
        </is>
      </c>
    </row>
    <row r="88">
      <c r="A88" s="7" t="inlineStr">
        <is>
          <t>Perel</t>
        </is>
      </c>
      <c r="B88" s="7" t="inlineStr">
        <is>
          <t>Плиточные клеи</t>
        </is>
      </c>
      <c r="C88" s="7" t="inlineStr">
        <is>
          <t>да</t>
        </is>
      </c>
      <c r="D88" s="7" t="inlineStr">
        <is>
          <t>Perel Keramogranit C1T</t>
        </is>
      </c>
      <c r="E88" s="7" t="inlineStr">
        <is>
          <t>Perel Keramogranit C1T, 25 кг, клеевая смесь</t>
        </is>
      </c>
      <c r="F88" s="7" t="n">
        <v>1</v>
      </c>
      <c r="G88" s="7" t="inlineStr">
        <is>
          <t>Усиленный плиточный клей на цементной основе с использованием европейских полимерных и армирующих добавок для укладки плит из керамогранита, мрамора, композитного камня по любым недеформируемым поверхностям в сухих и влажных помещениях, жилых, общественных, производственных и иных зданиях.</t>
        </is>
      </c>
      <c r="H88" s="7" t="inlineStr">
        <is>
          <t>Бумажные крафт-мешки по 25 кг.</t>
        </is>
      </c>
      <c r="I88" s="7" t="inlineStr">
        <is>
          <t>3,5-5,0 кг смеси на м2 при использовании зубчатого шпателя 6×6 мм.</t>
        </is>
      </c>
      <c r="J88" s="7" t="inlineStr">
        <is>
          <t>слоем 3-5 мм</t>
        </is>
      </c>
      <c r="K88" s="7" t="inlineStr">
        <is>
          <t>C1T</t>
        </is>
      </c>
      <c r="L88" s="7" t="inlineStr">
        <is>
          <t>—</t>
        </is>
      </c>
      <c r="M88" s="7" t="inlineStr"/>
      <c r="N88" s="7" t="inlineStr">
        <is>
          <t>https://td-perel.ru/catalog/klei-dlya-plitki-i-kamnya/kleevaya-smes-perel-keramogranit-c1t-25-kg/</t>
        </is>
      </c>
      <c r="O88" s="7" t="inlineStr">
        <is>
          <t>Класс C1T есть только в названии, ГОСТ не указан. Жизнеспособность 180 минут. Есть раздел «Видеообзоры» (только заголовок). В «Характеристиках» только артикул.</t>
        </is>
      </c>
    </row>
    <row r="89">
      <c r="A89" s="7" t="inlineStr">
        <is>
          <t>Perel</t>
        </is>
      </c>
      <c r="B89" s="7" t="inlineStr">
        <is>
          <t>Плиточные клеи</t>
        </is>
      </c>
      <c r="C89" s="7" t="inlineStr">
        <is>
          <t>да</t>
        </is>
      </c>
      <c r="D89" s="7" t="inlineStr">
        <is>
          <t>Perel Premium C1TE</t>
        </is>
      </c>
      <c r="E89" s="7" t="inlineStr">
        <is>
          <t>Perel Premium C1TE, 25 кг, клеевая смесь беспылевая</t>
        </is>
      </c>
      <c r="F89" s="7" t="n">
        <v>1</v>
      </c>
      <c r="G89" s="7" t="inlineStr">
        <is>
          <t>Используется для укладки тяжелой плитки больших размеров, натурального и искусственного камня, клинкерной плитки на минеральные недеформирующиеся основания в сухих и влажных помещениях.</t>
        </is>
      </c>
      <c r="H89" s="7" t="inlineStr">
        <is>
          <t>Бумажные крафт-мешки 25 кг.</t>
        </is>
      </c>
      <c r="I89" s="7" t="inlineStr">
        <is>
          <t>3,5-4,0 кг смеси на м2 при использовании зубчатого шпателя 6×6 мм.</t>
        </is>
      </c>
      <c r="J89" s="7" t="inlineStr">
        <is>
          <t>3-15 мм</t>
        </is>
      </c>
      <c r="K89" s="7" t="inlineStr">
        <is>
          <t>Класс по ГОСТ 56387 - 2018</t>
        </is>
      </c>
      <c r="L89" s="7" t="inlineStr">
        <is>
          <t>есть</t>
        </is>
      </c>
      <c r="M89" s="7" t="inlineStr"/>
      <c r="N89" s="7" t="inlineStr">
        <is>
          <t>https://td-perel.ru/catalog/klei-dlya-plitki-i-kamnya/kleevaya-smes-perel-premium-c1te-25-kg/</t>
        </is>
      </c>
      <c r="O89" s="7" t="inlineStr">
        <is>
          <t>Беспылевая. Модификация «зима» упомянута в инструкции без отдельного артикула. РАСХОЖДЕНИЯ внутри карточки: расход в тексте 3,5-4,0 кг/м², в характеристиках 3,5-5 кг/м²; жизнеспособность в тексте 90 минут, в характеристиках не менее 180 мин. ГОСТ записан без «Р» («ГОСТ 56387 - 2018»). Пригодна для тёплых полов, бассейнов и чаш фонтанов.</t>
        </is>
      </c>
    </row>
    <row r="90">
      <c r="A90" s="7" t="inlineStr">
        <is>
          <t>Perel</t>
        </is>
      </c>
      <c r="B90" s="7" t="inlineStr">
        <is>
          <t>Плиточные клеи</t>
        </is>
      </c>
      <c r="C90" s="7" t="inlineStr">
        <is>
          <t>да</t>
        </is>
      </c>
      <c r="D90" s="7" t="inlineStr">
        <is>
          <t>Perel Supremium</t>
        </is>
      </c>
      <c r="E90" s="7" t="inlineStr">
        <is>
          <t>Perel Supremium С2 ТЕ S1, 25 кг, эластичная, водостойкая, беспылевая клеевая смесь</t>
        </is>
      </c>
      <c r="F90" s="7" t="n">
        <v>1</v>
      </c>
      <c r="G90" s="7" t="inlineStr">
        <is>
          <t>Используется для укладки тяжелой плитки больших размеров, натурального и искусственного камня, клинкерной плитки на минеральные недеформирующиеся основания в сухих и влажных помещениях.</t>
        </is>
      </c>
      <c r="H90" s="7" t="inlineStr">
        <is>
          <t>Бумажные крафт-мешки - 25 кг .</t>
        </is>
      </c>
      <c r="I90" s="7" t="inlineStr">
        <is>
          <t>3,5-5,0 кг смеси на м2 при использовании зубчатого шпателя 6×6 мм.</t>
        </is>
      </c>
      <c r="J90" s="7" t="inlineStr">
        <is>
          <t>3-10 мм</t>
        </is>
      </c>
      <c r="K90" s="7" t="inlineStr">
        <is>
          <t>Смесь сухая клеевая на цементном вяжущем С2 ТЕ S1, ГОСТ 56387 - 2018.</t>
        </is>
      </c>
      <c r="L90" s="7" t="inlineStr">
        <is>
          <t>есть</t>
        </is>
      </c>
      <c r="M90" s="7" t="inlineStr"/>
      <c r="N90" s="7" t="inlineStr">
        <is>
          <t>https://td-perel.ru/catalog/klei-dlya-plitki-i-kamnya/perel-supremium/</t>
        </is>
      </c>
      <c r="O90" s="7" t="inlineStr">
        <is>
          <t>Эластичная, водостойкая, беспылевая. На одной карточке две модификации: «Артикул 031 5 – «лето»» (от +5 до +30) и «Артикул 531 5 – «зима»» (от -5 до +10); артикулы записаны с пробелом. Класс в названии набран кириллицей «С2 ТЕ S1», в характеристиках — вперемешку кириллицей и латиницей «С2 TЕ S1»; ГОСТ без «Р». В характеристиках 17 пар, не вошли 3: прочность после высоких температур (1,0 МПа), удер</t>
        </is>
      </c>
    </row>
    <row r="91">
      <c r="A91" s="7" t="inlineStr">
        <is>
          <t>Perel</t>
        </is>
      </c>
      <c r="B91" s="7" t="inlineStr">
        <is>
          <t>Плиточные клеи</t>
        </is>
      </c>
      <c r="C91" s="7" t="inlineStr">
        <is>
          <t>да</t>
        </is>
      </c>
      <c r="D91" s="7" t="inlineStr">
        <is>
          <t>Perel White C1TE</t>
        </is>
      </c>
      <c r="E91" s="7" t="inlineStr">
        <is>
          <t>Perel White C1TE, 25 кг, белая клеевая смесь</t>
        </is>
      </c>
      <c r="F91" s="7" t="n">
        <v>1</v>
      </c>
      <c r="G91" s="7" t="inlineStr">
        <is>
          <t>Клеевая смесь «White» на основе супер-белого цемента, отмытых кварцевых песков и европейских полимерных добавок для укладки всех видов керамической плитки, мрамора, натурального или искусственного камня по любым недеформируемым поверхностям в сухих и влажных помещениях, жилых, общественных, производственных и иных зданиях.</t>
        </is>
      </c>
      <c r="H91" s="7" t="inlineStr">
        <is>
          <t>Бумажные крафт-мешки 25 кг.</t>
        </is>
      </c>
      <c r="I91" s="7" t="inlineStr">
        <is>
          <t>3,5-4,0 кг смеси на м2 при использовании зубчатого шпателя 6×6 мм.</t>
        </is>
      </c>
      <c r="J91" s="7" t="inlineStr">
        <is>
          <t>слоем 3-5 мм</t>
        </is>
      </c>
      <c r="K91" s="7" t="inlineStr">
        <is>
          <t>C1TE</t>
        </is>
      </c>
      <c r="L91" s="7" t="inlineStr">
        <is>
          <t>—</t>
        </is>
      </c>
      <c r="M91" s="7" t="inlineStr"/>
      <c r="N91" s="7" t="inlineStr">
        <is>
          <t>https://td-perel.ru/catalog/klei-dlya-plitki-i-kamnya/kleevaya-smes-perel-white-c1te-25-kg/</t>
        </is>
      </c>
      <c r="O91" s="7" t="inlineStr">
        <is>
          <t>Класс C1TE есть только в названии, ГОСТ не указан. Жизнеспособность 90 минут. Есть раздел «Видеообзоры» (только заголовок). В «Характеристиках» только артикул.</t>
        </is>
      </c>
    </row>
    <row r="92">
      <c r="A92" s="7" t="inlineStr">
        <is>
          <t>Основит</t>
        </is>
      </c>
      <c r="B92" s="7" t="inlineStr">
        <is>
          <t>Плиточные клеи</t>
        </is>
      </c>
      <c r="C92" s="7" t="inlineStr">
        <is>
          <t>да</t>
        </is>
      </c>
      <c r="D92" s="7" t="inlineStr">
        <is>
          <t>Основит PRO Плиточный клей стандарт</t>
        </is>
      </c>
      <c r="E92" s="7" t="inlineStr">
        <is>
          <t>Плиточный клей стандарт Основит PRO</t>
        </is>
      </c>
      <c r="F92" s="7" t="n">
        <v>1</v>
      </c>
      <c r="G92" s="7" t="inlineStr">
        <is>
          <t>Плиточный клей стандарт ОСНОВИТ PRO предназначен для облицовки стен и пола керамической плиткой, а также укладки напольных плит из керамогранита.</t>
        </is>
      </c>
      <c r="H92" s="7" t="inlineStr">
        <is>
          <t>25 кг</t>
        </is>
      </c>
      <c r="I92" s="7" t="inlineStr"/>
      <c r="J92" s="7" t="inlineStr">
        <is>
          <t>2-8 мм</t>
        </is>
      </c>
      <c r="K92" s="7" t="inlineStr">
        <is>
          <t>C0T, ГОСТ Р 56387-2018</t>
        </is>
      </c>
      <c r="L92" s="7" t="inlineStr">
        <is>
          <t>—</t>
        </is>
      </c>
      <c r="M92" s="7" t="inlineStr"/>
      <c r="N92" s="7" t="inlineStr">
        <is>
          <t>https://osnovit.ru/catalog/osnovit-pro/plitochnyy-kley-standart-pro/</t>
        </is>
      </c>
      <c r="O92" s="7" t="inlineStr">
        <is>
          <t>Расход только таблицей по размеру плитки (зуб 4 мм → 2,1 кг/м² … зуб 10 мм → 5,2 кг/м²), отдельной строки расхода нет — consumption_quote пуст. Расхождение: в преимуществах «Время корректировки плитки 15 минут», в характеристиках «10 минут». Опечатка на странице: цвет «с ерый». Нет pdf во входе.</t>
        </is>
      </c>
    </row>
    <row r="93">
      <c r="A93" s="7" t="inlineStr">
        <is>
          <t>Основит</t>
        </is>
      </c>
      <c r="B93" s="7" t="inlineStr">
        <is>
          <t>Плиточные клеи</t>
        </is>
      </c>
      <c r="C93" s="7" t="inlineStr">
        <is>
          <t>да</t>
        </is>
      </c>
      <c r="D93" s="7" t="inlineStr">
        <is>
          <t>Основит PRO плиточный клей усиленный</t>
        </is>
      </c>
      <c r="E93" s="7" t="inlineStr">
        <is>
          <t>Плиточный клей усиленный Основит PRO</t>
        </is>
      </c>
      <c r="F93" s="7" t="n">
        <v>1</v>
      </c>
      <c r="G93" s="7" t="inlineStr">
        <is>
          <t>Плиточный клей усиленный ОСНОВИТ PRO предназначен для облицовки стен и полов керамической плиткой, керамогранитом, натуральным и искусственным камнем (вес до 600 г/100 см²).</t>
        </is>
      </c>
      <c r="H93" s="7" t="inlineStr">
        <is>
          <t>25 кг</t>
        </is>
      </c>
      <c r="I93" s="7" t="inlineStr">
        <is>
          <t>1,3-1,5 кг/м²</t>
        </is>
      </c>
      <c r="J93" s="7" t="inlineStr">
        <is>
          <t>2-15 мм</t>
        </is>
      </c>
      <c r="K93" s="7" t="inlineStr">
        <is>
          <t>C1, ГОСТ Р 56387-2018</t>
        </is>
      </c>
      <c r="L93" s="7" t="inlineStr">
        <is>
          <t>—</t>
        </is>
      </c>
      <c r="M93" s="7" t="inlineStr">
        <is>
          <t>серый</t>
        </is>
      </c>
      <c r="N93" s="7" t="inlineStr">
        <is>
          <t>https://osnovit.ru/catalog/plitochnye-klei/plitochnyy-kley-usilennyy-pro/</t>
        </is>
      </c>
      <c r="O93" s="7" t="inlineStr">
        <is>
          <t>Линейка «Основит PRO» (отдельный раздел каталога), кода модели нет. «В первые 10 минут приклеивания материалов обладает повышенной силой сцепления».</t>
        </is>
      </c>
    </row>
    <row r="94">
      <c r="A94" s="7" t="inlineStr">
        <is>
          <t>Основит</t>
        </is>
      </c>
      <c r="B94" s="7" t="inlineStr">
        <is>
          <t>Плиточные клеи</t>
        </is>
      </c>
      <c r="C94" s="7" t="inlineStr">
        <is>
          <t>да</t>
        </is>
      </c>
      <c r="D94" s="7" t="inlineStr">
        <is>
          <t>Основит Базпликс AC10</t>
        </is>
      </c>
      <c r="E94" s="7" t="inlineStr">
        <is>
          <t>Клей плиточный Основит Базпликс AC10 [C0T] 25 кг</t>
        </is>
      </c>
      <c r="F94" s="7" t="n">
        <v>1</v>
      </c>
      <c r="G94" s="7" t="inlineStr">
        <is>
          <t>Плиточный клей Основит Базпликс AC10 предназначен для облицовки стен и пола керамической плиткой.</t>
        </is>
      </c>
      <c r="H94" s="7" t="inlineStr">
        <is>
          <t>25 кг</t>
        </is>
      </c>
      <c r="I94" s="7" t="inlineStr">
        <is>
          <t>1,3-1,5 кг/м 2</t>
        </is>
      </c>
      <c r="J94" s="7" t="inlineStr">
        <is>
          <t>2-15 мм</t>
        </is>
      </c>
      <c r="K94" s="7" t="inlineStr">
        <is>
          <t>C0T, ГОСТ Р 56387-2018</t>
        </is>
      </c>
      <c r="L94" s="7" t="inlineStr">
        <is>
          <t>—</t>
        </is>
      </c>
      <c r="M94" s="7" t="inlineStr"/>
      <c r="N94" s="7" t="inlineStr">
        <is>
          <t>https://osnovit.ru/catalog/plitochnye-klei/bazpliks-as10-kley-standart-dlya-keramicheskoy-plitki-osnovit/</t>
        </is>
      </c>
      <c r="O94" s="7" t="inlineStr">
        <is>
          <t>Есть таблица расхода по размеру плитки (до 10 см — 2,4 … до 25 см — 6,1 кг/м²). На странице названы «Сертификат» и «Техническая карта Базпликс AC10», но pdf во входе нет.</t>
        </is>
      </c>
    </row>
    <row r="95">
      <c r="A95" s="7" t="inlineStr">
        <is>
          <t>Основит</t>
        </is>
      </c>
      <c r="B95" s="7" t="inlineStr">
        <is>
          <t>Плиточные клеи</t>
        </is>
      </c>
      <c r="C95" s="7" t="inlineStr">
        <is>
          <t>да</t>
        </is>
      </c>
      <c r="D95" s="7" t="inlineStr">
        <is>
          <t>Основит Белпликс AC141 W</t>
        </is>
      </c>
      <c r="E95" s="7" t="inlineStr">
        <is>
          <t>Клей плиточный белый Основит Белпликс AC141 W [С1T]</t>
        </is>
      </c>
      <c r="F95" s="7" t="n">
        <v>1</v>
      </c>
      <c r="G95" s="7" t="inlineStr">
        <is>
          <t>Белый плиточный клей Основит Белпликс AC141 W предназначен для облицовки стен и пола плитами из мрамора, цветной и прозрачной стеклянной плиткой, декоративной мозаикой, стекло-блоками, гранитом, натуральным и искусственным камнем.</t>
        </is>
      </c>
      <c r="H95" s="7" t="inlineStr">
        <is>
          <t>5 кг, 25 кг</t>
        </is>
      </c>
      <c r="I95" s="7" t="inlineStr">
        <is>
          <t>1,3-1,4 кг/м 2</t>
        </is>
      </c>
      <c r="J95" s="7" t="inlineStr">
        <is>
          <t>2-20 мм</t>
        </is>
      </c>
      <c r="K95" s="7" t="inlineStr">
        <is>
          <t>ГОСТ Р 56387-2018</t>
        </is>
      </c>
      <c r="L95" s="7" t="inlineStr">
        <is>
          <t>—</t>
        </is>
      </c>
      <c r="M95" s="7" t="inlineStr">
        <is>
          <t>Супер белый цвет</t>
        </is>
      </c>
      <c r="N95" s="7" t="inlineStr">
        <is>
          <t>https://osnovit.ru/catalog/plitochnye-klei/belpliks-ac141-w-s1t-h-kley-plitochnyy-belyy-dlya-keramicheskoy-mozaiki-keramicheskoy-keramogranit/</t>
        </is>
      </c>
      <c r="O95" s="7" t="inlineStr">
        <is>
          <t>В названии и классе стоит кириллическая «С» («С1T»). Фразы «для внутренних и наружных работ» нет, но рекомендован для балконов, террас, цоколей, фасадов и бассейнов (плитка до 30х30 см). W — белый цвет, входит в код модели. Тех. карта и сертификат названы, pdf во входе нет.</t>
        </is>
      </c>
    </row>
    <row r="96">
      <c r="A96" s="7" t="inlineStr">
        <is>
          <t>Основит</t>
        </is>
      </c>
      <c r="B96" s="7" t="inlineStr">
        <is>
          <t>Плиточные клеи</t>
        </is>
      </c>
      <c r="C96" s="7" t="inlineStr">
        <is>
          <t>да</t>
        </is>
      </c>
      <c r="D96" s="7" t="inlineStr">
        <is>
          <t>Основит Гранипликс AC14</t>
        </is>
      </c>
      <c r="E96" s="7" t="inlineStr">
        <is>
          <t>Клей плиточный зимний Основит Гранипликс AC14 F [C2T] 25 кг</t>
        </is>
      </c>
      <c r="F96" s="7" t="n">
        <v>2</v>
      </c>
      <c r="G96" s="7" t="inlineStr">
        <is>
          <t>Плиточный клей Основит Гранипликс AC14 F зимний предназначен для укладки керамической и клинкерной плитки, плит из керамогранита, натурального и искусственного камня (вес до 800 г / 100 см²) при температуре окружающей среды и основания от + 10°С до -10°С.</t>
        </is>
      </c>
      <c r="H96" s="7" t="inlineStr">
        <is>
          <t>25 кг, 5 кг</t>
        </is>
      </c>
      <c r="I96" s="7" t="inlineStr">
        <is>
          <t>1,3-1,5 кг/м 2</t>
        </is>
      </c>
      <c r="J96" s="7" t="inlineStr">
        <is>
          <t>2-15 мм</t>
        </is>
      </c>
      <c r="K96" s="7" t="inlineStr">
        <is>
          <t>C2TE, ГОСТ Р 56387-2018</t>
        </is>
      </c>
      <c r="L96" s="7" t="inlineStr">
        <is>
          <t>есть</t>
        </is>
      </c>
      <c r="M96" s="7" t="inlineStr">
        <is>
          <t>серый</t>
        </is>
      </c>
      <c r="N96" s="7" t="inlineStr">
        <is>
          <t>https://osnovit.ru/catalog/plitochnye-klei/osnovit-granipliks-as14-f-zimniy-kley-granit-dlya-naturalnogo-kamnya-keramogranita-klinkernoy-i-kera/</t>
        </is>
      </c>
      <c r="O96" s="7" t="inlineStr">
        <is>
          <t>Зимняя модификация AC14 (id osnovit__catalog__plitochnye-klei__granipliks-as14): класс C2T вместо C2TE, жизнеспособность 1 час вместо 4. На странице: «Возможна фасовка материала в мешок Гранипликс AC14 со стикером «зимний»». Таблица расхода по размеру плитки отличается от летней.</t>
        </is>
      </c>
    </row>
    <row r="97">
      <c r="A97" s="7" t="inlineStr">
        <is>
          <t>Основит</t>
        </is>
      </c>
      <c r="B97" s="7" t="inlineStr">
        <is>
          <t>Плиточные клеи</t>
        </is>
      </c>
      <c r="C97" s="7" t="inlineStr">
        <is>
          <t>да</t>
        </is>
      </c>
      <c r="D97" s="7" t="inlineStr">
        <is>
          <t>Основит Гранипликс AC15 R</t>
        </is>
      </c>
      <c r="E97" s="7" t="inlineStr">
        <is>
          <t>Клей плиточный быстротвердеющий Основит Гранипликс AC15 R [C1TF]</t>
        </is>
      </c>
      <c r="F97" s="7" t="n">
        <v>1</v>
      </c>
      <c r="G97" s="7" t="inlineStr">
        <is>
          <t>Плиточный клей Основит Гранипликс AC15 R предназначен для выполнения ремонтных работ и ускоренной облицовки стен и пола искусственным и натуральным камнем, керамической плиткой и керамогранитом (вес до 800 г / 100 см²).</t>
        </is>
      </c>
      <c r="H97" s="7" t="inlineStr">
        <is>
          <t>5 кг, 25 кг</t>
        </is>
      </c>
      <c r="I97" s="7" t="inlineStr"/>
      <c r="J97" s="7" t="inlineStr">
        <is>
          <t>1-10 мм</t>
        </is>
      </c>
      <c r="K97" s="7" t="inlineStr">
        <is>
          <t>C1TF, ГОСТ Р 56387-2018</t>
        </is>
      </c>
      <c r="L97" s="7" t="inlineStr">
        <is>
          <t>—</t>
        </is>
      </c>
      <c r="M97" s="7" t="inlineStr"/>
      <c r="N97" s="7" t="inlineStr">
        <is>
          <t>https://osnovit.ru/catalog/plitochnye-klei/skorpliks-t-15/</t>
        </is>
      </c>
      <c r="O97" s="7" t="inlineStr">
        <is>
          <t>Быстротвердеющий (F): затирка и хождение через 3 часа. Расход только таблицей по размеру плитки (до 10 см — 2,1 … до 25 см — 5,2 кг/м²), consumption_quote пуст. Не путать с Максипликс AC15 [C2T] (другой продукт, тоже «AC15»). Адрес …/skorpliks-t-15/ (старое имя «Скорпликс»?). В характеристиках класс «С1TF» с кириллической «С». Тех. карта и сертификат названы, pdf во входе нет.</t>
        </is>
      </c>
    </row>
    <row r="98">
      <c r="A98" s="7" t="inlineStr">
        <is>
          <t>Основит</t>
        </is>
      </c>
      <c r="B98" s="7" t="inlineStr">
        <is>
          <t>Плиточные клеи</t>
        </is>
      </c>
      <c r="C98" s="7" t="inlineStr">
        <is>
          <t>да</t>
        </is>
      </c>
      <c r="D98" s="7" t="inlineStr">
        <is>
          <t>Основит Максипликс AC15</t>
        </is>
      </c>
      <c r="E98" s="7" t="inlineStr">
        <is>
          <t>Клей плиточный высокопрочный Основит Максипликс AC15 [C2T] 25 кг</t>
        </is>
      </c>
      <c r="F98" s="7" t="n">
        <v>1</v>
      </c>
      <c r="G98" s="7" t="inlineStr">
        <is>
          <t>Плиточный клей Основит Максипликс AC15 предназначен для облицовки стен и пола крупноформатными плитами из мрамора и гранита, натуральным и искусственным камнем(клинкерная плитка), керамогранитом и керамической плиткой.</t>
        </is>
      </c>
      <c r="H98" s="7" t="inlineStr">
        <is>
          <t>25 кг</t>
        </is>
      </c>
      <c r="I98" s="7" t="inlineStr">
        <is>
          <t>1,3-1,4 кг/м 2</t>
        </is>
      </c>
      <c r="J98" s="7" t="inlineStr">
        <is>
          <t>2-30 мм</t>
        </is>
      </c>
      <c r="K98" s="7" t="inlineStr">
        <is>
          <t>C2T , ГОСТ Р 56387-2018</t>
        </is>
      </c>
      <c r="L98" s="7" t="inlineStr">
        <is>
          <t>—</t>
        </is>
      </c>
      <c r="M98" s="7" t="inlineStr"/>
      <c r="N98" s="7" t="inlineStr">
        <is>
          <t>https://osnovit.ru/catalog/plitochnye-klei/maksipliks-ac151-s2t-kley-plitochnyy-oblitsovki-sten-pola-iskusstvennym-naturalnym-kamnem-keramogranitom/</t>
        </is>
      </c>
      <c r="O98" s="7" t="inlineStr">
        <is>
          <t>Характеристики даны двумя столбцами — г. Коломна и г. Бердск; взяты значения первого (Коломна). Различие: «Хождение через» 24 часа (Коломна) и 12 часов (Бердск). Две тех. карты (вторая — «г. Бердск»), pdf во входе нет. Адрес …/maksipliks-ac151-s2t-…/. Возможно применение в системах скреплённой теплоизоляции.</t>
        </is>
      </c>
    </row>
    <row r="99">
      <c r="A99" s="7" t="inlineStr">
        <is>
          <t>Основит</t>
        </is>
      </c>
      <c r="B99" s="7" t="inlineStr">
        <is>
          <t>Плиточные клеи</t>
        </is>
      </c>
      <c r="C99" s="7" t="inlineStr">
        <is>
          <t>да</t>
        </is>
      </c>
      <c r="D99" s="7" t="inlineStr">
        <is>
          <t>Основит Максипликс AC16</t>
        </is>
      </c>
      <c r="E99" s="7" t="inlineStr">
        <is>
          <t>Клей плиточный профессиональный Основит Максипликс AC16 [C2TE] 25 кг</t>
        </is>
      </c>
      <c r="F99" s="7" t="n">
        <v>1</v>
      </c>
      <c r="G99" s="7" t="inlineStr">
        <is>
          <t>Плиточный клей Основит Максипликс AC16 беспылевой предназначен для облицовки стен и пола крупноформатными плитами из мрамора и гранита, натуральным и искусственным камнем(клинкерная плитка), керамогранитом и керамической плиткой.</t>
        </is>
      </c>
      <c r="H99" s="7" t="inlineStr">
        <is>
          <t>25 кг</t>
        </is>
      </c>
      <c r="I99" s="7" t="inlineStr">
        <is>
          <t>1,2-1,4 кг/м²</t>
        </is>
      </c>
      <c r="J99" s="7" t="inlineStr">
        <is>
          <t>1-12 мм</t>
        </is>
      </c>
      <c r="K99" s="7" t="inlineStr">
        <is>
          <t>C2TE, ГОСТ Р 56387-2018</t>
        </is>
      </c>
      <c r="L99" s="7" t="inlineStr">
        <is>
          <t>—</t>
        </is>
      </c>
      <c r="M99" s="7" t="inlineStr">
        <is>
          <t>серый</t>
        </is>
      </c>
      <c r="N99" s="7" t="inlineStr">
        <is>
          <t>https://osnovit.ru/catalog/plitochnye-klei/maksipliks-t-16/</t>
        </is>
      </c>
      <c r="O99" s="7" t="inlineStr">
        <is>
          <t>Беспылевой; «Возможно применение в системах скрепленной теплоизоляции». Документ «Техническая карта Максипликс AC16» — без ссылки во входе.</t>
        </is>
      </c>
    </row>
    <row r="100">
      <c r="A100" s="7" t="inlineStr">
        <is>
          <t>Основит</t>
        </is>
      </c>
      <c r="B100" s="7" t="inlineStr">
        <is>
          <t>Плиточные клеи</t>
        </is>
      </c>
      <c r="C100" s="7" t="inlineStr">
        <is>
          <t>да</t>
        </is>
      </c>
      <c r="D100" s="7" t="inlineStr">
        <is>
          <t>Основит Максипликс AC161 E</t>
        </is>
      </c>
      <c r="E100" s="7" t="inlineStr">
        <is>
          <t>Клей плиточный высокоэластичный Основит Максипликс AC161 Е 25 кг</t>
        </is>
      </c>
      <c r="F100" s="7" t="n">
        <v>1</v>
      </c>
      <c r="G100" s="7" t="inlineStr">
        <is>
          <t>высокоэластичный беспылевой предназначен для облицовки стен и пола керамической плиткой и керамогранитом, плитами из мрамора и гранита, натуральным и искусственным камнем(клинкерная плитка)</t>
        </is>
      </c>
      <c r="H100" s="7" t="inlineStr">
        <is>
          <t>25 кг</t>
        </is>
      </c>
      <c r="I100" s="7" t="inlineStr">
        <is>
          <t>1,2 кг/м²</t>
        </is>
      </c>
      <c r="J100" s="7" t="inlineStr">
        <is>
          <t>1-12 мм</t>
        </is>
      </c>
      <c r="K100" s="7" t="inlineStr">
        <is>
          <t>C2TE S1, ГОСТ Р 56387-2018</t>
        </is>
      </c>
      <c r="L100" s="7" t="inlineStr">
        <is>
          <t>—</t>
        </is>
      </c>
      <c r="M100" s="7" t="inlineStr"/>
      <c r="N100" s="7" t="inlineStr">
        <is>
          <t>https://osnovit.ru/catalog/plitochnye-klei/maksipliks-as16-e/</t>
        </is>
      </c>
      <c r="O100" s="7" t="inlineStr">
        <is>
          <t>В заголовке буква Е в коде модели кириллическая; product_code и series_key записаны латиницей. Беспылевой, класс C2TE S1 (в заголовке класса нет, в разделе — «МАКСИПЛИКС АС161 Е [C2TE S1]»). Основания включают дерево, фанеру, ДСП внутри помещений, молодой бетон. Адрес …/maksipliks-as16-e/. Тех. карта и сертификат названы, pdf во входе нет.</t>
        </is>
      </c>
    </row>
    <row r="101">
      <c r="A101" s="7" t="inlineStr">
        <is>
          <t>Основит</t>
        </is>
      </c>
      <c r="B101" s="7" t="inlineStr">
        <is>
          <t>Плиточные клеи</t>
        </is>
      </c>
      <c r="C101" s="7" t="inlineStr">
        <is>
          <t>да</t>
        </is>
      </c>
      <c r="D101" s="7" t="inlineStr">
        <is>
          <t>Основит Максипликс AC162 LE S2</t>
        </is>
      </c>
      <c r="E101" s="7" t="inlineStr">
        <is>
          <t>Клей плиточный легкий сверхэластичный беспылевой Основит Максипликс AC162 LE S2 [C2TE S2] 12,5 кг</t>
        </is>
      </c>
      <c r="F101" s="7" t="n">
        <v>1</v>
      </c>
      <c r="G101" s="7" t="inlineStr">
        <is>
          <t>Клей Основит Максипликс АС162 LЕ S2 легкий сверхэластичный предназначен для облицовки стен и пола керамической плиткой и керамогранитом, плитами из мрамора и гранита, натуральным и искусственным камнем (клинкерная плитка).</t>
        </is>
      </c>
      <c r="H101" s="7" t="inlineStr">
        <is>
          <t>12,5 кг</t>
        </is>
      </c>
      <c r="I101" s="7" t="inlineStr">
        <is>
          <t>0,6 кг/м²</t>
        </is>
      </c>
      <c r="J101" s="7" t="inlineStr">
        <is>
          <t>1-6 мм(10мм)</t>
        </is>
      </c>
      <c r="K101" s="7" t="inlineStr">
        <is>
          <t>C2TE S2, ГОСТ Р 56387-2018</t>
        </is>
      </c>
      <c r="L101" s="7" t="inlineStr">
        <is>
          <t>—</t>
        </is>
      </c>
      <c r="M101" s="7" t="inlineStr"/>
      <c r="N101" s="7" t="inlineStr">
        <is>
          <t>https://osnovit.ru/catalog/plitochnye-klei/maksipliks-as16-le-s2-sverkhelastichnyy-lyegkiy-kley-osnovit/</t>
        </is>
      </c>
      <c r="O101" s="7" t="inlineStr">
        <is>
          <t>Цвет не указан; блока преимуществ нет. Основания включают молодой бетон, старую плитку, краску, гидроизоляцию, дерево/фанеру/ДСП внутри помещений. В тексте код «АС162 LЕ S2» (смешение кириллицы).</t>
        </is>
      </c>
    </row>
    <row r="102">
      <c r="A102" s="7" t="inlineStr">
        <is>
          <t>Основит</t>
        </is>
      </c>
      <c r="B102" s="7" t="inlineStr">
        <is>
          <t>Плиточные клеи</t>
        </is>
      </c>
      <c r="C102" s="7" t="inlineStr">
        <is>
          <t>да</t>
        </is>
      </c>
      <c r="D102" s="7" t="inlineStr">
        <is>
          <t>Основит Максипликс AC17 W</t>
        </is>
      </c>
      <c r="E102" s="7" t="inlineStr">
        <is>
          <t>Клей плиточный белый Основит Максипликс AC17 W [C2TE] 25 кг</t>
        </is>
      </c>
      <c r="F102" s="7" t="n">
        <v>1</v>
      </c>
      <c r="G102" s="7" t="inlineStr">
        <is>
          <t>предназначен для облицовки плитами из мрамора, цветной и прозрачной стеклянной плиткой, декоративной мозаикой, стеклоблоками, гранитом, натуральным и искусственным камнем размером до 120х120 см (массой до 900 гр. на 100 см²) на стены и размером до 120*180 см (массой до 1000 гр. на 100 см²) на пол.</t>
        </is>
      </c>
      <c r="H102" s="7" t="inlineStr">
        <is>
          <t>25 кг</t>
        </is>
      </c>
      <c r="I102" s="7" t="inlineStr">
        <is>
          <t>1,2-1,4 кг/м²</t>
        </is>
      </c>
      <c r="J102" s="7" t="inlineStr">
        <is>
          <t>1-12 мм</t>
        </is>
      </c>
      <c r="K102" s="7" t="inlineStr">
        <is>
          <t>C2TE, ГОСТ Р 56387-2018</t>
        </is>
      </c>
      <c r="L102" s="7" t="inlineStr">
        <is>
          <t>—</t>
        </is>
      </c>
      <c r="M102" s="7" t="inlineStr"/>
      <c r="N102" s="7" t="inlineStr">
        <is>
          <t>https://osnovit.ru/catalog/plitochnye-klei/belpliks-t-17/</t>
        </is>
      </c>
      <c r="O102" s="7" t="inlineStr">
        <is>
          <t>Адрес …/belpliks-t-17/, а товар — Максипликс AC17 W (старое имя «Белпликс»?). В тексте назначения «АС17» кириллицей. Таблица расхода по размеру плитки: до 5 см — 1,8 … до 100 см — 6,0 кг/м². Плитка до 120х120 см на стены и 120*180 см на пол. Тех. карта и сертификат названы, pdf во входе нет.</t>
        </is>
      </c>
    </row>
    <row r="103">
      <c r="A103" s="7" t="inlineStr">
        <is>
          <t>Основит</t>
        </is>
      </c>
      <c r="B103" s="7" t="inlineStr">
        <is>
          <t>Плиточные клеи</t>
        </is>
      </c>
      <c r="C103" s="7" t="inlineStr">
        <is>
          <t>да</t>
        </is>
      </c>
      <c r="D103" s="7" t="inlineStr">
        <is>
          <t>Основит Максипликс AC17 WE S1</t>
        </is>
      </c>
      <c r="E103" s="7" t="inlineStr">
        <is>
          <t>Клей плиточный высокоэластичный белый Основит Максипликс AC17 WE S1 [C2TE S1] 25 кг</t>
        </is>
      </c>
      <c r="F103" s="7" t="n">
        <v>1</v>
      </c>
      <c r="G103" s="7" t="inlineStr">
        <is>
          <t>высокоэластичный предназначен для облицовки стен и пола плитами из мрамора, цветной и прозрачной стеклянной плиткой, декоративной мозаикой, стекло-блоками, гранитом, натуральным и искусственным камнем.</t>
        </is>
      </c>
      <c r="H103" s="7" t="inlineStr">
        <is>
          <t>25 кг</t>
        </is>
      </c>
      <c r="I103" s="7" t="inlineStr">
        <is>
          <t>1,1 кг/м²</t>
        </is>
      </c>
      <c r="J103" s="7" t="inlineStr">
        <is>
          <t>1-6 мм(10мм)</t>
        </is>
      </c>
      <c r="K103" s="7" t="inlineStr">
        <is>
          <t>C2TE S1, ГОСТ Р 56387-2018</t>
        </is>
      </c>
      <c r="L103" s="7" t="inlineStr">
        <is>
          <t>—</t>
        </is>
      </c>
      <c r="M103" s="7" t="inlineStr"/>
      <c r="N103" s="7" t="inlineStr">
        <is>
          <t>https://osnovit.ru/catalog/plitochnye-klei/maksipliks-ac17-we-s1-sverkhelastichnyy-lyegkiy-kley-osnovit/</t>
        </is>
      </c>
      <c r="O103" s="7" t="inlineStr">
        <is>
          <t>Адрес …/maksipliks-ac17-we-s1-sverkhelastichnyy-lyegkiy-…/ обещает «сверхэластичный лёгкий», а на странице «высокоэластичный», 25 кг, класс S1 (лёгкий S2 — отдельный AC172 LEW S2 по 12,5 кг). Странность: класс S1, но в рекомендуемых основаниях «недеформирующиеся». Морозостойкость 75 циклов. Преимуществ на странице нет (только «Класс C2TE S1»). Таблицы расхода по плитке нет. Тех. карта и сертификат</t>
        </is>
      </c>
    </row>
    <row r="104">
      <c r="A104" s="7" t="inlineStr">
        <is>
          <t>Основит</t>
        </is>
      </c>
      <c r="B104" s="7" t="inlineStr">
        <is>
          <t>Плиточные клеи</t>
        </is>
      </c>
      <c r="C104" s="7" t="inlineStr">
        <is>
          <t>да</t>
        </is>
      </c>
      <c r="D104" s="7" t="inlineStr">
        <is>
          <t>Основит Максипликс AC172 LEW S2</t>
        </is>
      </c>
      <c r="E104" s="7" t="inlineStr">
        <is>
          <t>Клей плиточный легкий сверхэластичный белый Основит Максипликс AC172 LEW S2 [C2TE S2] 12,5 кг</t>
        </is>
      </c>
      <c r="F104" s="7" t="n">
        <v>1</v>
      </c>
      <c r="G104" s="7" t="inlineStr">
        <is>
          <t>Клей Основит Максипликс АС17 LЕW S2 легкий сверхэластичный предназначен для облицовки стен и пола крупными и сверхкрупными плитами из мрамора, цветной и прозрачной стеклянной плиткой, декоративной мозаикой, стекло-блоками, гранитом, натуральным и искусственным камнем.</t>
        </is>
      </c>
      <c r="H104" s="7" t="inlineStr">
        <is>
          <t>12,5 кг</t>
        </is>
      </c>
      <c r="I104" s="7" t="inlineStr">
        <is>
          <t>0,6 кг/м²</t>
        </is>
      </c>
      <c r="J104" s="7" t="inlineStr">
        <is>
          <t>1-12 мм</t>
        </is>
      </c>
      <c r="K104" s="7" t="inlineStr">
        <is>
          <t>C2TE S2, ГОСТ Р 56387-2018</t>
        </is>
      </c>
      <c r="L104" s="7" t="inlineStr">
        <is>
          <t>—</t>
        </is>
      </c>
      <c r="M104" s="7" t="inlineStr">
        <is>
          <t>белый</t>
        </is>
      </c>
      <c r="N104" s="7" t="inlineStr">
        <is>
          <t>https://osnovit.ru/catalog/plitochnye-klei/maksipliks-ac17-lew-s2-sverkhelastichnyy-lyegkiy-kley-osnovit/</t>
        </is>
      </c>
      <c r="O104" s="7" t="inlineStr">
        <is>
          <t>В заголовке AC172 LEW S2, в тексте назначения «АС17 LЕW S2», в URL ac17 — разнобой кода. Противоречие: в преимуществах «Для сложных деформирующихся оснований», в рекомендуемых основаниях — «сложные недеформирующиеся». Лёгкий клей, фасовка 12,5 кг.</t>
        </is>
      </c>
    </row>
    <row r="105">
      <c r="A105" s="7" t="inlineStr">
        <is>
          <t>Основит</t>
        </is>
      </c>
      <c r="B105" s="7" t="inlineStr">
        <is>
          <t>Плиточные клеи</t>
        </is>
      </c>
      <c r="C105" s="7" t="inlineStr">
        <is>
          <t>да</t>
        </is>
      </c>
      <c r="D105" s="7" t="inlineStr">
        <is>
          <t>Основит Мастпликс AC12 H</t>
        </is>
      </c>
      <c r="E105" s="7" t="inlineStr">
        <is>
          <t>Клей плиточный усиленный Основит Мастпликс AC12 H [C1T]</t>
        </is>
      </c>
      <c r="F105" s="7" t="n">
        <v>2</v>
      </c>
      <c r="G105" s="7" t="inlineStr">
        <is>
          <t>Плиточный клей Основит Мастпликс AC12 H предназначен для облицовки стен и полов керамической плиткой, керамогранитом, натуральным и искусственным камнем весом до 600г/100см² внутри сухих и влажных жилых и административных помещений.</t>
        </is>
      </c>
      <c r="H105" s="7" t="inlineStr">
        <is>
          <t>5 кг, 25 кг</t>
        </is>
      </c>
      <c r="I105" s="7" t="inlineStr">
        <is>
          <t>1,3-1,5 кг/м 2</t>
        </is>
      </c>
      <c r="J105" s="7" t="inlineStr">
        <is>
          <t>2-20 мм</t>
        </is>
      </c>
      <c r="K105" s="7" t="inlineStr">
        <is>
          <t>C1T, ГОСТ Р 56387-2018</t>
        </is>
      </c>
      <c r="L105" s="7" t="inlineStr">
        <is>
          <t>—</t>
        </is>
      </c>
      <c r="M105" s="7" t="inlineStr">
        <is>
          <t>серый</t>
        </is>
      </c>
      <c r="N105" s="7" t="inlineStr">
        <is>
          <t>https://osnovit.ru/catalog/plitochnye-klei/mastpliks-as12-h-plitochnyy-kley-usilennyy-osnovit/</t>
        </is>
      </c>
      <c r="O105" s="7" t="inlineStr">
        <is>
          <t>Есть вторая карточка того же Мастпликс AC12 H с URL «-N» (id osnovit__catalog__plitochnye-klei__mastpliks-as12-h-N) с другими данными — см. её notes.</t>
        </is>
      </c>
    </row>
    <row r="106">
      <c r="A106" s="7" t="inlineStr">
        <is>
          <t>Основит</t>
        </is>
      </c>
      <c r="B106" s="7" t="inlineStr">
        <is>
          <t>Плиточные клеи</t>
        </is>
      </c>
      <c r="C106" s="7" t="inlineStr">
        <is>
          <t>да</t>
        </is>
      </c>
      <c r="D106" s="7" t="inlineStr">
        <is>
          <t>Основит Мастпликс AC121 T</t>
        </is>
      </c>
      <c r="E106" s="7" t="inlineStr">
        <is>
          <t>Клей плиточный выравнивающий Основит Мастпликс AC121 T [C1T] 25 кг</t>
        </is>
      </c>
      <c r="F106" s="7" t="n">
        <v>1</v>
      </c>
      <c r="G106" s="7" t="inlineStr">
        <is>
          <t>Плиточный клей Основит Мастпликс AC121 T предназначен для облицовки без предварительного выравнивания стен и полов керамической плиткой, искусственным и натуральным камнем (вес до 600 г/100 см²).</t>
        </is>
      </c>
      <c r="H106" s="7" t="inlineStr">
        <is>
          <t>25 кг</t>
        </is>
      </c>
      <c r="I106" s="7" t="inlineStr"/>
      <c r="J106" s="7" t="inlineStr">
        <is>
          <t>3-30 мм</t>
        </is>
      </c>
      <c r="K106" s="7" t="inlineStr">
        <is>
          <t>C1T, ГОСТ Р 56387-2018</t>
        </is>
      </c>
      <c r="L106" s="7" t="inlineStr">
        <is>
          <t>—</t>
        </is>
      </c>
      <c r="M106" s="7" t="inlineStr"/>
      <c r="N106" s="7" t="inlineStr">
        <is>
          <t>https://osnovit.ru/catalog/plitochnye-klei/mastpliks-ac12-t/</t>
        </is>
      </c>
      <c r="O106" s="7" t="inlineStr">
        <is>
          <t>Слой до 30 мм. Только внутри помещения, хотя указаны морозостойкость 50 циклов и эксплуатация до -50°С. Расход только таблицей (до 10 см — 2,4 … до 25 см — 6,1 кг/м²). Адрес …/mastpliks-ac12-t/. Тех. карта и сертификат названы, pdf во входе нет.</t>
        </is>
      </c>
    </row>
    <row r="107">
      <c r="A107" s="7" t="inlineStr">
        <is>
          <t>Основит</t>
        </is>
      </c>
      <c r="B107" s="7" t="inlineStr">
        <is>
          <t>Плиточные клеи</t>
        </is>
      </c>
      <c r="C107" s="7" t="inlineStr">
        <is>
          <t>да</t>
        </is>
      </c>
      <c r="D107" s="7" t="inlineStr">
        <is>
          <t>Основит Мастпликс AC13</t>
        </is>
      </c>
      <c r="E107" s="7" t="inlineStr">
        <is>
          <t>Клей плиточный беспылевой Основит Мастпликс AC13 [C1T] 25 кг</t>
        </is>
      </c>
      <c r="F107" s="7" t="n">
        <v>1</v>
      </c>
      <c r="G107" s="7" t="inlineStr">
        <is>
          <t>предназначен для облицовки стен и полов керамической и клинкерной плиткой, керамогранитом, натуральным и искусственным камнем весом до 800 г/100 см².</t>
        </is>
      </c>
      <c r="H107" s="7" t="inlineStr">
        <is>
          <t>25 кг</t>
        </is>
      </c>
      <c r="I107" s="7" t="inlineStr">
        <is>
          <t>1,3-1,4 кг/м 2</t>
        </is>
      </c>
      <c r="J107" s="7" t="inlineStr">
        <is>
          <t>1-12 мм</t>
        </is>
      </c>
      <c r="K107" s="7" t="inlineStr">
        <is>
          <t>C1T, ГОСТ Р 56387-2018</t>
        </is>
      </c>
      <c r="L107" s="7" t="inlineStr">
        <is>
          <t>—</t>
        </is>
      </c>
      <c r="M107" s="7" t="inlineStr"/>
      <c r="N107" s="7" t="inlineStr">
        <is>
          <t>https://osnovit.ru/catalog/plitochnye-klei/mastpliks-ac13-s1t-kley-plitochnyy-bespylevoy-keramogranita/</t>
        </is>
      </c>
      <c r="O107" s="7" t="inlineStr">
        <is>
          <t>Армирован фиброволокном, с биоцидными добавками («протигрибковый» — опечатка на странице). Таблица расхода по размеру плитки (до 10 см — 2,4 … до 25 см — 6,1 кг/м²). Тех. карта и сертификат названы, pdf во входе нет.</t>
        </is>
      </c>
    </row>
    <row r="108">
      <c r="A108" s="7" t="inlineStr">
        <is>
          <t>Основит</t>
        </is>
      </c>
      <c r="B108" s="7" t="inlineStr">
        <is>
          <t>Плиточные клеи</t>
        </is>
      </c>
      <c r="C108" s="7" t="inlineStr">
        <is>
          <t>да</t>
        </is>
      </c>
      <c r="D108" s="7" t="inlineStr">
        <is>
          <t>Основит Старпликс AC11</t>
        </is>
      </c>
      <c r="E108" s="7" t="inlineStr">
        <is>
          <t>Клей плиточный универсальный Основит Старпликс AC11 [C1]</t>
        </is>
      </c>
      <c r="F108" s="7" t="n">
        <v>1</v>
      </c>
      <c r="G108" s="7" t="inlineStr">
        <is>
          <t>Универсальный плиточный клей Основит Старпликс AC11 предназначен для облицовки оснований стен и полов с подогревом керамической плиткой, натуральным и искусственным камнем весом до 600 г/100 см².</t>
        </is>
      </c>
      <c r="H108" s="7" t="inlineStr">
        <is>
          <t>5 кг, 25 кг</t>
        </is>
      </c>
      <c r="I108" s="7" t="inlineStr">
        <is>
          <t>1,3-1,5 кг/м 2</t>
        </is>
      </c>
      <c r="J108" s="7" t="inlineStr">
        <is>
          <t>2-15 мм</t>
        </is>
      </c>
      <c r="K108" s="7" t="inlineStr">
        <is>
          <t>C1, ГОСТ Р 56387-2018</t>
        </is>
      </c>
      <c r="L108" s="7" t="inlineStr">
        <is>
          <t>—</t>
        </is>
      </c>
      <c r="M108" s="7" t="inlineStr">
        <is>
          <t>серый</t>
        </is>
      </c>
      <c r="N108" s="7" t="inlineStr">
        <is>
          <t>https://osnovit.ru/catalog/plitochnye-klei/starpliks-ac11/</t>
        </is>
      </c>
      <c r="O108" s="7" t="inlineStr">
        <is>
          <t>Базовый клей C1, только недеформирующиеся основания; морозостойкость 50 циклов; фасовки 5 и 25 кг.</t>
        </is>
      </c>
    </row>
    <row r="109">
      <c r="A109" s="7" t="inlineStr">
        <is>
          <t>Основит</t>
        </is>
      </c>
      <c r="B109" s="7" t="inlineStr">
        <is>
          <t>Плиточные клеи</t>
        </is>
      </c>
      <c r="C109" s="7" t="inlineStr">
        <is>
          <t>да</t>
        </is>
      </c>
      <c r="D109" s="7" t="inlineStr">
        <is>
          <t>Основит Старпликс AC112</t>
        </is>
      </c>
      <c r="E109" s="7" t="inlineStr">
        <is>
          <t>Клей плиточный зимний Основит Старпликс AC112 F [C1] 25 кг</t>
        </is>
      </c>
      <c r="F109" s="7" t="n">
        <v>1</v>
      </c>
      <c r="G109" s="7" t="inlineStr">
        <is>
          <t>Плиточный клей универсальный Основит Старпликс АС112 F предназначен для укладки керамической плитки весом до 450 г/100 см² на стены и полы gпри температуре окружающей среды от – 10°С до + 10°С.</t>
        </is>
      </c>
      <c r="H109" s="7" t="inlineStr">
        <is>
          <t>25 кг</t>
        </is>
      </c>
      <c r="I109" s="7" t="inlineStr"/>
      <c r="J109" s="7" t="inlineStr">
        <is>
          <t>2-20 мм</t>
        </is>
      </c>
      <c r="K109" s="7" t="inlineStr">
        <is>
          <t>C1, ГОСТ Р 56387-2018</t>
        </is>
      </c>
      <c r="L109" s="7" t="inlineStr">
        <is>
          <t>есть</t>
        </is>
      </c>
      <c r="M109" s="7" t="inlineStr">
        <is>
          <t>Серый</t>
        </is>
      </c>
      <c r="N109" s="7" t="inlineStr">
        <is>
          <t>https://osnovit.ru/catalog/plitochnye-klei/starpliks-ac112-f/</t>
        </is>
      </c>
      <c r="O109" s="7" t="inlineStr">
        <is>
          <t>Расход смеси на м² на странице не указан. Нет кнопки «Купить» (у соседних карточек есть). Опечатка «gпри» в тексте назначения. Код AC112 — отдельный от Старпликс AC11, прямой связи «зимняя версия AC11» текст не даёт. Есть подробные разделы «Подготовка основания», «Приготовление раствора», «Нанесение».</t>
        </is>
      </c>
    </row>
    <row r="110">
      <c r="A110" s="7" t="inlineStr">
        <is>
          <t>Perel</t>
        </is>
      </c>
      <c r="B110" s="7" t="inlineStr">
        <is>
          <t>Затирки для плитки и камня (сухие)</t>
        </is>
      </c>
      <c r="C110" s="7" t="inlineStr">
        <is>
          <t>да</t>
        </is>
      </c>
      <c r="D110" s="7" t="inlineStr">
        <is>
          <t>Perel NFS PRO</t>
        </is>
      </c>
      <c r="E110" s="7" t="inlineStr">
        <is>
          <t>Perel NFS PRO 0505, 25 кг, белая</t>
        </is>
      </c>
      <c r="F110" s="7" t="n">
        <v>10</v>
      </c>
      <c r="G110" s="7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H110" s="7" t="inlineStr">
        <is>
          <t>Бумажные крафт-мешки по 25 кг.</t>
        </is>
      </c>
      <c r="I110" s="7" t="inlineStr">
        <is>
          <t>2 – 6 кг/м² в зависимости от ширины швов и формата облицовочного материала.</t>
        </is>
      </c>
      <c r="J110" s="7" t="inlineStr">
        <is>
          <t>Рекомендуемая ширина шва 5 - 30 мм.</t>
        </is>
      </c>
      <c r="K110" s="7" t="inlineStr">
        <is>
          <t>ГОСТ Р 28571 – 2018 «Смеси сухие затирочные. Технические условия».</t>
        </is>
      </c>
      <c r="L110" s="7" t="inlineStr">
        <is>
          <t>есть</t>
        </is>
      </c>
      <c r="M110" s="7" t="inlineStr"/>
      <c r="N110" s="7" t="inlineStr">
        <is>
          <t>https://td-perel.ru/catalog/perel-nfs-pro/perel-nfs-pro-0505/</t>
        </is>
      </c>
      <c r="O110" s="7" t="inlineStr">
        <is>
          <t>Фасадная затирка швов плитки/камня (НФС, СФТК), раздел «Затирки и расшивки». tile_grout (CG2 WA по ГОСТ Р 58271); альтернатива joint_pointing_brick, но назначение — плитка и камень, не кирпич. Текст общий для всех 10 цветов; общие замечания по NFS PRO — в batch_notes.</t>
        </is>
      </c>
    </row>
    <row r="111">
      <c r="A111" s="7" t="inlineStr">
        <is>
          <t>Perel</t>
        </is>
      </c>
      <c r="B111" s="7" t="inlineStr">
        <is>
          <t>Затирки для плитки и камня (сухие)</t>
        </is>
      </c>
      <c r="C111" s="7" t="inlineStr">
        <is>
          <t>да</t>
        </is>
      </c>
      <c r="D111" s="7" t="inlineStr">
        <is>
          <t>Perel RL</t>
        </is>
      </c>
      <c r="E111" s="7" t="inlineStr">
        <is>
          <t>Белая затирочная смесь Perel RL 25 кг</t>
        </is>
      </c>
      <c r="F111" s="7" t="n">
        <v>12</v>
      </c>
      <c r="G111" s="7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H111" s="7" t="inlineStr">
        <is>
          <t>Бумажные крафт-мешки по 25 кг.</t>
        </is>
      </c>
      <c r="I111" s="7" t="inlineStr">
        <is>
          <t>2 – 6 кг/м2 в зависимости от ширины швов и формата облицовочного материала.</t>
        </is>
      </c>
      <c r="J111" s="7" t="inlineStr">
        <is>
          <t>5 – 30 мм</t>
        </is>
      </c>
      <c r="K111" s="7" t="inlineStr"/>
      <c r="L111" s="7" t="inlineStr">
        <is>
          <t>есть</t>
        </is>
      </c>
      <c r="M111" s="7" t="inlineStr">
        <is>
          <t>бежевый</t>
        </is>
      </c>
      <c r="N111" s="7" t="inlineStr">
        <is>
          <t>https://td-perel.ru/catalog/tsvetnaya-zatirochnaya-smes-perel-rl/belaya-zatirochnaya-smes-perel-rl-25-kg/</t>
        </is>
      </c>
      <c r="O111" s="7" t="inlineStr">
        <is>
          <t>Тип: затирка швов облицовки (камень, облицовочная плитка, термопанели), шов 5–30 мм — между tile_grout и joint_pointing_brick. Артикул = код цвета (0405). Упомянута модификация «зима» без отдельного артикула. Текст 12 цветов идентичен.</t>
        </is>
      </c>
    </row>
    <row r="112">
      <c r="A112" s="7" t="inlineStr">
        <is>
          <t>Основит</t>
        </is>
      </c>
      <c r="B112" s="7" t="inlineStr">
        <is>
          <t>Затирки для плитки и камня (сухие)</t>
        </is>
      </c>
      <c r="C112" s="7" t="inlineStr">
        <is>
          <t>да</t>
        </is>
      </c>
      <c r="D112" s="7" t="inlineStr">
        <is>
          <t>Основит Плитсэйв XC35 H</t>
        </is>
      </c>
      <c r="E112" s="7" t="inlineStr">
        <is>
          <t>Затирка Основит Плитсэйв XC35 H для широких швов 20 кг</t>
        </is>
      </c>
      <c r="F112" s="7" t="n">
        <v>2</v>
      </c>
      <c r="G112" s="7" t="inlineStr">
        <is>
          <t>Высокопрочная затирка ОСНОВИТ ПЛИТСЭЙВ XC35 Н предназначена для защиты и заполнения межплиточных швов шириной от 5 до 35 мм на вертикальных и горизонтальных основаниях.</t>
        </is>
      </c>
      <c r="H112" s="7" t="inlineStr">
        <is>
          <t>Вес упаковки
20 кг</t>
        </is>
      </c>
      <c r="I112" s="7" t="inlineStr"/>
      <c r="J112" s="7" t="inlineStr">
        <is>
          <t>межплиточных швов шириной от 5 до 35 мм</t>
        </is>
      </c>
      <c r="K112" s="7" t="inlineStr">
        <is>
          <t>CG2 W, ГОСТ Р 58271-2018</t>
        </is>
      </c>
      <c r="L112" s="7" t="inlineStr">
        <is>
          <t>—</t>
        </is>
      </c>
      <c r="M112" s="7" t="inlineStr">
        <is>
          <t>12 цветов</t>
        </is>
      </c>
      <c r="N112" s="7" t="inlineStr">
        <is>
          <t>https://osnovit.ru/catalog/zatirka-shvov/osnovit-plitseyv-xc35-h-20-kg/</t>
        </is>
      </c>
      <c r="O112" s="7" t="inlineStr">
        <is>
          <t>Тот же продукт, что id …osnovit-plitseyv-xc35-h-5-kg (фасовка 5 кг). Срок хранения 12 мес. в бумажном, 24 мес. в пластиковом мешке. Расход не указан. В тексте «XC35 Н» с кириллической Н. Подходит и для облицовки камнем и фасадов; тип оставлен tile_grout (это не расшивка кирпичной кладки). Техкарта упомянута, в pdfs нет.</t>
        </is>
      </c>
    </row>
    <row r="113">
      <c r="A113" s="7" t="inlineStr">
        <is>
          <t>Основит</t>
        </is>
      </c>
      <c r="B113" s="7" t="inlineStr">
        <is>
          <t>Затирки для плитки и камня (сухие)</t>
        </is>
      </c>
      <c r="C113" s="7" t="inlineStr">
        <is>
          <t>да</t>
        </is>
      </c>
      <c r="D113" s="7" t="inlineStr">
        <is>
          <t>Основит Плитсэйв XC5</t>
        </is>
      </c>
      <c r="E113" s="7" t="inlineStr">
        <is>
          <t>Затирка цементная Основит Плитсэйв XC5 1 кг</t>
        </is>
      </c>
      <c r="F113" s="7" t="n">
        <v>1</v>
      </c>
      <c r="G113" s="7" t="inlineStr">
        <is>
          <t>Цементная затирка Основит Плитсэйв XC5 предназначена для заполнения и защиты межплиточных швов от 1 до 6 мм на полах и стенах в жилых и общественных помещениях.</t>
        </is>
      </c>
      <c r="H113" s="7" t="inlineStr">
        <is>
          <t>Вес упаковки
1кг</t>
        </is>
      </c>
      <c r="I113" s="7" t="inlineStr"/>
      <c r="J113" s="7" t="inlineStr">
        <is>
          <t>межплиточных швов от 1 до 6 мм</t>
        </is>
      </c>
      <c r="K113" s="7" t="inlineStr">
        <is>
          <t>CG1 E , ГОСТ Р 58271-2018</t>
        </is>
      </c>
      <c r="L113" s="7" t="inlineStr">
        <is>
          <t>—</t>
        </is>
      </c>
      <c r="M113" s="7" t="inlineStr">
        <is>
          <t>Количество цветов
27</t>
        </is>
      </c>
      <c r="N113" s="7" t="inlineStr">
        <is>
          <t>https://osnovit.ru/catalog/zatirki-i-rasshivki/tsementnaya-zatirka-osnovit-plitseyv-xc5/</t>
        </is>
      </c>
      <c r="O113" s="7" t="inlineStr">
        <is>
          <t>Метка «Новинка». Кнопки «Купить» на карточке нет. Срок хранения и расход не указаны. Фасовка 1 кг.</t>
        </is>
      </c>
    </row>
    <row r="114">
      <c r="A114" s="7" t="inlineStr">
        <is>
          <t>Основит</t>
        </is>
      </c>
      <c r="B114" s="7" t="inlineStr">
        <is>
          <t>Затирки для плитки и камня (сухие)</t>
        </is>
      </c>
      <c r="C114" s="7" t="inlineStr">
        <is>
          <t>да</t>
        </is>
      </c>
      <c r="D114" s="7" t="inlineStr">
        <is>
          <t>Основит Плитсэйв XC6 E</t>
        </is>
      </c>
      <c r="E114" s="7" t="inlineStr">
        <is>
          <t>Затирка эластичная цветная Основит Плитсэйв XC6 E 2 кг</t>
        </is>
      </c>
      <c r="F114" s="7" t="n">
        <v>2</v>
      </c>
      <c r="G114" s="7" t="inlineStr">
        <is>
          <t>Эластичная затирка ОСНОВИТ ПЛИТСЭЙВ ХС6 Е предназначена для заполнения и защиты межплиточных швов шириной до 10 мм на полах и стенах в жилых и общественных помещениях.</t>
        </is>
      </c>
      <c r="H114" s="7" t="inlineStr">
        <is>
          <t>Вес упаковки
2 кг</t>
        </is>
      </c>
      <c r="I114" s="7" t="inlineStr"/>
      <c r="J114" s="7" t="inlineStr">
        <is>
          <t>Ширина шва 1-10 мм</t>
        </is>
      </c>
      <c r="K114" s="7" t="inlineStr">
        <is>
          <t>Соответствует классу CG2, по ГОСТ Р 58271-2018</t>
        </is>
      </c>
      <c r="L114" s="7" t="inlineStr">
        <is>
          <t>—</t>
        </is>
      </c>
      <c r="M114" s="7" t="inlineStr"/>
      <c r="N114" s="7" t="inlineStr">
        <is>
          <t>https://osnovit.ru/catalog/zatirka-shvov/plitseyv-khs6-e/</t>
        </is>
      </c>
      <c r="O114" s="7" t="inlineStr">
        <is>
          <t xml:space="preserve">Характеристики даны двумя колонками по месту производства (г. Коломна / г. Бердск); в записи значения колонки Коломны. Бердск: сцепление ≥0,8 МПа, сжатие ≥15 МПа, вода 0,30-0,34 л, водоудерживание ≥95%, температура нанесения +5°С…+30°С (у Коломны +5°С…+35°С). Число цветов не указано (есть «Цветовая палитра», «Выбрать цвет», «Новые яркие цвета»). В тексте «ХС6 Е» кириллицей. Слаг URL «khs6-e». Тот </t>
        </is>
      </c>
    </row>
    <row r="115">
      <c r="A115" s="7" t="inlineStr">
        <is>
          <t>Dauer</t>
        </is>
      </c>
      <c r="B115" s="7" t="inlineStr">
        <is>
          <t>Стяжки для пола</t>
        </is>
      </c>
      <c r="C115" s="7" t="inlineStr">
        <is>
          <t>да</t>
        </is>
      </c>
      <c r="D115" s="7" t="inlineStr">
        <is>
          <t>Dauer PLATTER 50</t>
        </is>
      </c>
      <c r="E115" s="7" t="inlineStr">
        <is>
          <t>Dauer PLATTER® 50 Стяжка высокопрочная армированная</t>
        </is>
      </c>
      <c r="F115" s="7" t="n">
        <v>1</v>
      </c>
      <c r="G115" s="7" t="inlineStr">
        <is>
          <t>Применяется для базового толстослойного выравнивания полов, для устройства контактных стяжек и стяжек на разделительном слое, в том числе "плавающих".</t>
        </is>
      </c>
      <c r="H115" s="7" t="inlineStr">
        <is>
          <t>25 кг.</t>
        </is>
      </c>
      <c r="I115" s="7" t="inlineStr">
        <is>
          <t>18 кг/м²</t>
        </is>
      </c>
      <c r="J115" s="7" t="inlineStr">
        <is>
          <t>10 – 200 мм</t>
        </is>
      </c>
      <c r="K115" s="7" t="inlineStr">
        <is>
          <t>ГОСТ 31358-2019</t>
        </is>
      </c>
      <c r="L115" s="7" t="inlineStr">
        <is>
          <t>есть</t>
        </is>
      </c>
      <c r="M115" s="7" t="inlineStr"/>
      <c r="N115" s="7" t="inlineStr">
        <is>
          <t>https://dauer.ru/catalog/materialy-dlya-ustroystva-polov/dauer-platter-50/</t>
        </is>
      </c>
      <c r="O115" s="7" t="inlineStr">
        <is>
          <t>Полное наименование «DAUER PLATTER® ЖЕСТКАЯ (HARD) 50 Фибра (Fibro)». Есть зимняя версия (нанесение от -10 °С, срок годности 6 месяцев). Расход 18 кг/м² — при толщине слоя 10 мм. Прочность 30 МПа. Толстослойная стяжка (не наливной пол); с керамзитом — лёгкие стяжки до 300 мм. Основа (цемент) прямо не названа.</t>
        </is>
      </c>
    </row>
    <row r="116">
      <c r="A116" s="7" t="inlineStr">
        <is>
          <t>Perel</t>
        </is>
      </c>
      <c r="B116" s="7" t="inlineStr">
        <is>
          <t>Стяжки для пола</t>
        </is>
      </c>
      <c r="C116" s="7" t="inlineStr">
        <is>
          <t>да</t>
        </is>
      </c>
      <c r="D116" s="7" t="inlineStr">
        <is>
          <t>Perel Express</t>
        </is>
      </c>
      <c r="E116" s="7" t="inlineStr">
        <is>
          <t>Perel Express, 25 кг, быстротвердеющая цементная стяжка</t>
        </is>
      </c>
      <c r="F116" s="7" t="n">
        <v>1</v>
      </c>
      <c r="G116" s="7" t="inlineStr">
        <is>
          <t>Быстротвердеющая цементная основа для пола применяется для выравнивания бетонных полов в жилых помещениях и общественных зданиях с нагрузкой на пол не более 200 кг/см² (М200).</t>
        </is>
      </c>
      <c r="H116" s="7" t="inlineStr">
        <is>
          <t>Бумажные крафт-мешки по 25 кг.</t>
        </is>
      </c>
      <c r="I116" s="7" t="inlineStr">
        <is>
          <t>18-20 кг/м2</t>
        </is>
      </c>
      <c r="J116" s="7" t="inlineStr">
        <is>
          <t>Рекомендуемая толщина слоя от 10 до 80 мм.</t>
        </is>
      </c>
      <c r="K116" s="7" t="inlineStr"/>
      <c r="L116" s="7" t="inlineStr">
        <is>
          <t>—</t>
        </is>
      </c>
      <c r="M116" s="7" t="inlineStr"/>
      <c r="N116" s="7" t="inlineStr">
        <is>
          <t>https://td-perel.ru/catalog/nalivnye-poly/perel-express-0720/</t>
        </is>
      </c>
      <c r="O116" s="7" t="inlineStr">
        <is>
          <t>Лежит в разделе «Наливные полы», но по названию и тексту — цементная стяжка (базовый слой) → floor_screed. Противоречие: в анонсе «Для внутренних и наружных работ», в описании «Используется внутри сухих и влажных помещений». Опечатки производителя: «6-8 чамс», «Пк2 см». consumption_quote — значение характеристики «Расход сухой смеси при слое 10 мм». ГОСТ не указан.</t>
        </is>
      </c>
    </row>
    <row r="117">
      <c r="A117" s="7" t="inlineStr">
        <is>
          <t>Основит</t>
        </is>
      </c>
      <c r="B117" s="7" t="inlineStr">
        <is>
          <t>Стяжки для пола</t>
        </is>
      </c>
      <c r="C117" s="7" t="inlineStr">
        <is>
          <t>да</t>
        </is>
      </c>
      <c r="D117" s="7" t="inlineStr">
        <is>
          <t>Основит PRO Стяжка армированная</t>
        </is>
      </c>
      <c r="E117" s="7" t="inlineStr">
        <is>
          <t>Стяжка армированная Основит PRO</t>
        </is>
      </c>
      <c r="F117" s="7" t="n">
        <v>1</v>
      </c>
      <c r="G117" s="7" t="inlineStr">
        <is>
          <t>Стяжка ОСНОВИТ PRO предназначена для предварительного выравнивания оснований и устройства прочного пола в жилых, офисных, торговых и общественных помещениях.</t>
        </is>
      </c>
      <c r="H117" s="7" t="inlineStr">
        <is>
          <t>25 кг</t>
        </is>
      </c>
      <c r="I117" s="7" t="inlineStr">
        <is>
          <t>20 кг/м²</t>
        </is>
      </c>
      <c r="J117" s="7" t="inlineStr">
        <is>
          <t>20-200 мм</t>
        </is>
      </c>
      <c r="K117" s="7" t="inlineStr"/>
      <c r="L117" s="7" t="inlineStr">
        <is>
          <t>—</t>
        </is>
      </c>
      <c r="M117" s="7" t="inlineStr"/>
      <c r="N117" s="7" t="inlineStr">
        <is>
          <t>https://osnovit.ru/catalog/osnovit-pro/styazhka-armirovannaya-osnovit-pro/</t>
        </is>
      </c>
      <c r="O117" s="7" t="inlineStr">
        <is>
          <t>Армирована фиброволокном. Основа и ГОСТ не указаны. Нет pdf во входе.</t>
        </is>
      </c>
    </row>
    <row r="118">
      <c r="A118" s="7" t="inlineStr">
        <is>
          <t>Основит</t>
        </is>
      </c>
      <c r="B118" s="7" t="inlineStr">
        <is>
          <t>Стяжки для пола</t>
        </is>
      </c>
      <c r="C118" s="7" t="inlineStr">
        <is>
          <t>да</t>
        </is>
      </c>
      <c r="D118" s="7" t="inlineStr">
        <is>
          <t>Основит Стартолайн FC40</t>
        </is>
      </c>
      <c r="E118" s="7" t="inlineStr">
        <is>
          <t>Стяжка базовая Основит Стартолайн FC40 25 кг</t>
        </is>
      </c>
      <c r="F118" s="7" t="n">
        <v>1</v>
      </c>
      <c r="G118" s="7" t="inlineStr">
        <is>
          <t>Стяжка ОСНОВИТ СТАРТОЛАЙН FC40 предназначена для предварительного выравнивания оснований и устройства прочного пола в жилых, офисных, торговых и общественных помещениях.</t>
        </is>
      </c>
      <c r="H118" s="7" t="inlineStr">
        <is>
          <t>Вес упаковки
25 кг</t>
        </is>
      </c>
      <c r="I118" s="7" t="inlineStr">
        <is>
          <t>Расход смеси при слое 10 мм
20 кг/м 2</t>
        </is>
      </c>
      <c r="J118" s="7" t="inlineStr">
        <is>
          <t>Слой от 20 до 200 мм</t>
        </is>
      </c>
      <c r="K118" s="7" t="inlineStr"/>
      <c r="L118" s="7" t="inlineStr">
        <is>
          <t>—</t>
        </is>
      </c>
      <c r="M118" s="7" t="inlineStr"/>
      <c r="N118" s="7" t="inlineStr">
        <is>
          <t>https://osnovit.ru/catalog/styazhki/startolayn-FC-40/</t>
        </is>
      </c>
      <c r="O118" s="7" t="inlineStr">
        <is>
          <t>core_ok=false; данные взяты из полного текста (в ядре они тоже есть). В документации «Описание» и «Техническая карта Стартолайн FC40», но в pdfs ссылок нет. Состав (основа) не указан.</t>
        </is>
      </c>
    </row>
    <row r="119">
      <c r="A119" s="7" t="inlineStr">
        <is>
          <t>Основит</t>
        </is>
      </c>
      <c r="B119" s="7" t="inlineStr">
        <is>
          <t>Стяжки для пола</t>
        </is>
      </c>
      <c r="C119" s="7" t="inlineStr">
        <is>
          <t>да</t>
        </is>
      </c>
      <c r="D119" s="7" t="inlineStr">
        <is>
          <t>Основит Стартолайн FC41 H</t>
        </is>
      </c>
      <c r="E119" s="7" t="inlineStr">
        <is>
          <t>Стяжка высокопрочная Основит Стартолайн FC41 H 25 кг</t>
        </is>
      </c>
      <c r="F119" s="7" t="n">
        <v>1</v>
      </c>
      <c r="G119" s="7" t="inlineStr">
        <is>
          <t>Стяжка ОСНОВИТ СТАРТОЛАЙН FC41 H предназначена для предварительного выравнивания оснований и устройства прочного пола в жилых, офисных, торговых и общественных помещениях.</t>
        </is>
      </c>
      <c r="H119" s="7" t="inlineStr">
        <is>
          <t>Вес упаковки
25 кг</t>
        </is>
      </c>
      <c r="I119" s="7" t="inlineStr">
        <is>
          <t>Расход смеси при слое 10 мм
20 кг/м 2</t>
        </is>
      </c>
      <c r="J119" s="7" t="inlineStr">
        <is>
          <t>Слой от 20 до 200 мм</t>
        </is>
      </c>
      <c r="K119" s="7" t="inlineStr"/>
      <c r="L119" s="7" t="inlineStr">
        <is>
          <t>—</t>
        </is>
      </c>
      <c r="M119" s="7" t="inlineStr"/>
      <c r="N119" s="7" t="inlineStr">
        <is>
          <t>https://osnovit.ru/catalog/styazhki/startolayn-FC-41-H/</t>
        </is>
      </c>
      <c r="O119" s="7" t="inlineStr">
        <is>
          <t>core_ok=false; данные из полного текста. Отличия от FC40: прочность ≥30 МПа, «Ручное и машинное нанесение», для зданий с повышенной эксплуатационной нагрузкой. Техкарта упомянута, в pdfs нет. Основа не указана.</t>
        </is>
      </c>
    </row>
    <row r="120">
      <c r="A120" s="7" t="inlineStr">
        <is>
          <t>Основит</t>
        </is>
      </c>
      <c r="B120" s="7" t="inlineStr">
        <is>
          <t>Стяжки для пола</t>
        </is>
      </c>
      <c r="C120" s="7" t="inlineStr">
        <is>
          <t>да</t>
        </is>
      </c>
      <c r="D120" s="7" t="inlineStr">
        <is>
          <t>Основит Стартолайн FC43 L</t>
        </is>
      </c>
      <c r="E120" s="7" t="inlineStr">
        <is>
          <t>Стяжка легкая Основит Стартолайн FC43 L 25 кг</t>
        </is>
      </c>
      <c r="F120" s="7" t="n">
        <v>1</v>
      </c>
      <c r="G120" s="7" t="inlineStr">
        <is>
          <t>Стяжка ОСНОВИТ СТАРТОЛАЙН FC43 L предназначена для предварительного выравнивания оснований и устройства легкого и прочного пола в жилых и офисных помещениях.</t>
        </is>
      </c>
      <c r="H120" s="7" t="inlineStr">
        <is>
          <t>Вес упаковки
25 кг</t>
        </is>
      </c>
      <c r="I120" s="7" t="inlineStr">
        <is>
          <t>Расход смеси при слое 10 мм
12 кг/м 2</t>
        </is>
      </c>
      <c r="J120" s="7" t="inlineStr">
        <is>
          <t>Рекомендуемая толщина слоя
30-300 мм</t>
        </is>
      </c>
      <c r="K120" s="7" t="inlineStr"/>
      <c r="L120" s="7" t="inlineStr">
        <is>
          <t>—</t>
        </is>
      </c>
      <c r="M120" s="7" t="inlineStr"/>
      <c r="N120" s="7" t="inlineStr">
        <is>
          <t>https://osnovit.ru/catalog/styazhki/startolayn-fc43-l-styazhka-lyegkaya-osnovit-/</t>
        </is>
      </c>
      <c r="O120" s="7" t="inlineStr">
        <is>
          <t>core_ok=false; данные из полного текста. Слой в характеристиках 30-300 мм, а лендинг стяжек (id …tsemerin-fc-20-25-kg) пишет про всю линейку «от 20 до 200 мм». «Расход снижен на 40%*» и «Теплопроводность снижена на 26%*» — по сравнению с обычными цементными стяжками. Техкарта упомянута, в pdfs нет. Основа не указана.</t>
        </is>
      </c>
    </row>
    <row r="121">
      <c r="A121" s="7" t="inlineStr">
        <is>
          <t>Dauer</t>
        </is>
      </c>
      <c r="B121" s="7" t="inlineStr">
        <is>
          <t>Наливные полы и ровнители</t>
        </is>
      </c>
      <c r="C121" s="7" t="inlineStr">
        <is>
          <t>да</t>
        </is>
      </c>
      <c r="D121" s="7" t="inlineStr">
        <is>
          <t>Dauer PLATTER 55</t>
        </is>
      </c>
      <c r="E121" s="7" t="inlineStr">
        <is>
          <t>Dauer PLATTER® 55 Наливной пол универсальный быстротвердеющий</t>
        </is>
      </c>
      <c r="F121" s="7" t="n">
        <v>1</v>
      </c>
      <c r="G121" s="7" t="inlineStr">
        <is>
          <t>Для ручного и механизированного выравнивания оснований (от 2 до 100 мм) под последующую укладку напольных покрытий: ламинат, линолеум и ковролин, керамическая и керамогранитная плитка, другие выстилающие покрытия.</t>
        </is>
      </c>
      <c r="H121" s="7" t="inlineStr">
        <is>
          <t>20 кг.</t>
        </is>
      </c>
      <c r="I121" s="7" t="inlineStr">
        <is>
          <t>1,4-1,6 кг/м²</t>
        </is>
      </c>
      <c r="J121" s="7" t="inlineStr">
        <is>
          <t>2-100 мм</t>
        </is>
      </c>
      <c r="K121" s="7" t="inlineStr">
        <is>
          <t>ГОСТ 31358</t>
        </is>
      </c>
      <c r="L121" s="7" t="inlineStr">
        <is>
          <t>—</t>
        </is>
      </c>
      <c r="M121" s="7" t="inlineStr"/>
      <c r="N121" s="7" t="inlineStr">
        <is>
          <t>https://dauer.ru/catalog/materialy-dlya-ustroystva-polov/platter-self-55-eco-nalivnoy-pol-universalnyy-bystrotverdeyushchiy-rk5-vtb4-v12-5-gost-31358-2019/</t>
        </is>
      </c>
      <c r="O121" s="7" t="inlineStr">
        <is>
          <t>Полное наименование «Dauer Platter Сам (Self) 55 Эко (Eco)», в URL «self-55-eco … rk5-vtb4-v12-5». Только внутренние работы. Срок годности не менее 8 месяцев. Расхождение: в характеристиках укладка облицовки «2-7 суток», в тексте выполнения работ «не ранее, чем через 5-7 суток». Расход 1,4-1,6 кг/м² при слое 1 мм.</t>
        </is>
      </c>
    </row>
    <row r="122">
      <c r="A122" s="7" t="inlineStr">
        <is>
          <t>Dauer</t>
        </is>
      </c>
      <c r="B122" s="7" t="inlineStr">
        <is>
          <t>Наливные полы и ровнители</t>
        </is>
      </c>
      <c r="C122" s="7" t="inlineStr">
        <is>
          <t>да</t>
        </is>
      </c>
      <c r="D122" s="7" t="inlineStr">
        <is>
          <t>Dauer PLATTER 57</t>
        </is>
      </c>
      <c r="E122" s="7" t="inlineStr">
        <is>
          <t>Dauer PLATTER® 57 Наливной пол армированный быстротвердеющий</t>
        </is>
      </c>
      <c r="F122" s="7" t="n">
        <v>1</v>
      </c>
      <c r="G122" s="7" t="inlineStr">
        <is>
          <t>Для ручного и механизированного выравнивания оснований (от 1 до 15 мм) под последующую укладку напольных покрытий.</t>
        </is>
      </c>
      <c r="H122" s="7" t="inlineStr">
        <is>
          <t>20 кг.</t>
        </is>
      </c>
      <c r="I122" s="7" t="inlineStr">
        <is>
          <t>1,5-1,6 кг/м²</t>
        </is>
      </c>
      <c r="J122" s="7" t="inlineStr">
        <is>
          <t>1 - 20 мм</t>
        </is>
      </c>
      <c r="K122" s="7" t="inlineStr">
        <is>
          <t>ГОСТ 31358</t>
        </is>
      </c>
      <c r="L122" s="7" t="inlineStr">
        <is>
          <t>—</t>
        </is>
      </c>
      <c r="M122" s="7" t="inlineStr"/>
      <c r="N122" s="7" t="inlineStr">
        <is>
          <t>https://dauer.ru/catalog/materialy-dlya-ustroystva-polov/platter-self-57-nalivnoy-pol-tonkosloynyy-bystrotverdeyushchiy-klass-v15-gost-31358/</t>
        </is>
      </c>
      <c r="O122" s="7" t="inlineStr">
        <is>
          <t>Полное наименование «Dauer Platter Сам (Self) 57». Расхождение: в назначении «от 1 до 15 мм», в характеристиках «Толщина слоя 1 - 20 мм». H1 «армированный быстротвердеющий», URL «тонкослойный … класс v15». Класс B15 / Btb 4. Только внутренние работы.</t>
        </is>
      </c>
    </row>
    <row r="123">
      <c r="A123" s="7" t="inlineStr">
        <is>
          <t>Dauer</t>
        </is>
      </c>
      <c r="B123" s="7" t="inlineStr">
        <is>
          <t>Наливные полы и ровнители</t>
        </is>
      </c>
      <c r="C123" s="7" t="inlineStr">
        <is>
          <t>да</t>
        </is>
      </c>
      <c r="D123" s="7" t="inlineStr">
        <is>
          <t>Dauer PLATTER 59</t>
        </is>
      </c>
      <c r="E123" s="7" t="inlineStr">
        <is>
          <t>Dauer PLATTER® 59 Наливной пол армированный высокопрочный</t>
        </is>
      </c>
      <c r="F123" s="7" t="n">
        <v>1</v>
      </c>
      <c r="G123" s="7" t="inlineStr">
        <is>
          <t>Для ручного и механизированного выравнивания оснований от 2 до 30 мм, с возможностью локального выравнивания до 50 мм, эксплуатируемых в жилых, офисных, торговых или иных общественных помещениях с умеренной и повышенной влажностью, в условиях умеренных и значительных нагрузок, под последующую укладку напольных покрытий, а также под проведение облицовочных работ плитами из керамогранита или натурального камня.</t>
        </is>
      </c>
      <c r="H123" s="7" t="inlineStr">
        <is>
          <t>25 кг.</t>
        </is>
      </c>
      <c r="I123" s="7" t="inlineStr">
        <is>
          <t>1,7 кг/м2</t>
        </is>
      </c>
      <c r="J123" s="7" t="inlineStr">
        <is>
          <t>2 – 30 (локально 50) мм</t>
        </is>
      </c>
      <c r="K123" s="7" t="inlineStr">
        <is>
          <t>ГОСТ 31358</t>
        </is>
      </c>
      <c r="L123" s="7" t="inlineStr">
        <is>
          <t>—</t>
        </is>
      </c>
      <c r="M123" s="7" t="inlineStr"/>
      <c r="N123" s="7" t="inlineStr">
        <is>
          <t>https://dauer.ru/catalog/materialy-dlya-ustroystva-polov/platter-self-59-nalivnoy-pol-vysokoprochnyy-rk6-vtb4-v20-f50-gost-31358/</t>
        </is>
      </c>
      <c r="O123" s="7" t="inlineStr">
        <is>
          <t>Полное наименование «Dauer Platter Сам (Self) 59». Внутренние и наружные работы, морозостойкость 50 циклов, класс В 20 / Btb 4; подходит под полимерные покрытия, в т.ч. «3D-полы». Расход 1,7 кг/м2 при слое 1 мм.</t>
        </is>
      </c>
    </row>
    <row r="124">
      <c r="A124" s="7" t="inlineStr">
        <is>
          <t>Perel</t>
        </is>
      </c>
      <c r="B124" s="7" t="inlineStr">
        <is>
          <t>Наливные полы и ровнители</t>
        </is>
      </c>
      <c r="C124" s="7" t="inlineStr">
        <is>
          <t>да</t>
        </is>
      </c>
      <c r="D124" s="7" t="inlineStr">
        <is>
          <t>Perel Faster</t>
        </is>
      </c>
      <c r="E124" s="7" t="inlineStr">
        <is>
          <t>Perel Faster, 24 кг, финишный наливной пол</t>
        </is>
      </c>
      <c r="F124" s="7" t="n">
        <v>1</v>
      </c>
      <c r="G124" s="7" t="inlineStr">
        <is>
          <t>Быстротвердеющий наливной пол на основе комплексного минерального вяжущего с добавлением европейских полимерных добавок применяется для выравнивания бетонных полов в жилых и административных зданиях под последующие покрытия: плитка, паркет, линолеум и тд.</t>
        </is>
      </c>
      <c r="H124" s="7" t="inlineStr">
        <is>
          <t>Бумажные крафт-мешки по 24 кг.</t>
        </is>
      </c>
      <c r="I124" s="7" t="inlineStr">
        <is>
          <t>15-16 кг/м²</t>
        </is>
      </c>
      <c r="J124" s="7" t="inlineStr">
        <is>
          <t>Рекомендуемая толщина слоя от 2 до 100 мм.</t>
        </is>
      </c>
      <c r="K124" s="7" t="inlineStr"/>
      <c r="L124" s="7" t="inlineStr">
        <is>
          <t>—</t>
        </is>
      </c>
      <c r="M124" s="7" t="inlineStr"/>
      <c r="N124" s="7" t="inlineStr">
        <is>
          <t>https://td-perel.ru/catalog/nalivnye-poly/perel-faster-0732/</t>
        </is>
      </c>
      <c r="O124" s="7" t="inlineStr">
        <is>
          <t>Финишный наливной пол, мешок 24 кг. Время хождения в анонсе «через 4 часа», в тексте «через 3-4 часа» (в слове у производителя латинская «c»). consumption_quote — значение характеристики «Расход сухой смеси при слое 10 мм». ГОСТ не указан.</t>
        </is>
      </c>
    </row>
    <row r="125">
      <c r="A125" s="7" t="inlineStr">
        <is>
          <t>Основит</t>
        </is>
      </c>
      <c r="B125" s="7" t="inlineStr">
        <is>
          <t>Наливные полы и ровнители</t>
        </is>
      </c>
      <c r="C125" s="7" t="inlineStr">
        <is>
          <t>да</t>
        </is>
      </c>
      <c r="D125" s="7" t="inlineStr">
        <is>
          <t>Основит PRO Наливной пол быстротвердеющий</t>
        </is>
      </c>
      <c r="E125" s="7" t="inlineStr">
        <is>
          <t>Наливной пол быстротвердеющий Основит PRO</t>
        </is>
      </c>
      <c r="F125" s="7" t="n">
        <v>1</v>
      </c>
      <c r="G125" s="7" t="inlineStr">
        <is>
          <t>Наливной пол быстротвердеющий ОСНОВИТ PRO предназначен для финишного выравнивания оснований слоем от 3 до 80 мм в жилых и офисных помещениях.</t>
        </is>
      </c>
      <c r="H125" s="7" t="inlineStr">
        <is>
          <t>20 кг</t>
        </is>
      </c>
      <c r="I125" s="7" t="inlineStr">
        <is>
          <t>14-15 кг/м²</t>
        </is>
      </c>
      <c r="J125" s="7" t="inlineStr">
        <is>
          <t>Толщина слоя нанесения от 3 до 80 мм</t>
        </is>
      </c>
      <c r="K125" s="7" t="inlineStr"/>
      <c r="L125" s="7" t="inlineStr">
        <is>
          <t>—</t>
        </is>
      </c>
      <c r="M125" s="7" t="inlineStr"/>
      <c r="N125" s="7" t="inlineStr">
        <is>
          <t>https://osnovit.ru/catalog/osnovit-pro/pol-nalivnoy-bystro-pro/</t>
        </is>
      </c>
      <c r="O125" s="7" t="inlineStr">
        <is>
          <t>Преимущество на странице: «Экономичный расход 14-15 кг на 1 квадратный метр», а в характеристиках это «Расход смеси при слое 10 мм». Основа не названа, ГОСТ не указан. Срок хранения 12/24 мес (бумажный/пластиковый мешок) в выборку не вошёл. Нет pdf во входе.</t>
        </is>
      </c>
    </row>
    <row r="126">
      <c r="A126" s="7" t="inlineStr">
        <is>
          <t>Основит</t>
        </is>
      </c>
      <c r="B126" s="7" t="inlineStr">
        <is>
          <t>Наливные полы и ровнители</t>
        </is>
      </c>
      <c r="C126" s="7" t="inlineStr">
        <is>
          <t>да</t>
        </is>
      </c>
      <c r="D126" s="7" t="inlineStr">
        <is>
          <t>Основит Ниплайн FC42 H</t>
        </is>
      </c>
      <c r="E126" s="7" t="inlineStr">
        <is>
          <t>Пол наливной высокопрочный Основит Ниплайн FC42 H 25 кг</t>
        </is>
      </c>
      <c r="F126" s="7" t="n">
        <v>1</v>
      </c>
      <c r="G126" s="7" t="inlineStr">
        <is>
          <t>Наливной пол Основит Ниплайн FC42 H предназначен для окончательного выравнивания оснований слоем от 3 до 30 мм в жилых, офисных, торговых и общественных помещениях.</t>
        </is>
      </c>
      <c r="H126" s="7" t="inlineStr">
        <is>
          <t>Вес упаковки
25 кг</t>
        </is>
      </c>
      <c r="I126" s="7" t="inlineStr">
        <is>
          <t>Расход смеси при слое 10 мм
17 кг/м 2</t>
        </is>
      </c>
      <c r="J126" s="7" t="inlineStr">
        <is>
          <t>Рекомендуемая толщина слоя
3-30 мм</t>
        </is>
      </c>
      <c r="K126" s="7" t="inlineStr">
        <is>
          <t>Рк6, Btb4,B15,F50 ГОСТ 31358-2019</t>
        </is>
      </c>
      <c r="L126" s="7" t="inlineStr">
        <is>
          <t>—</t>
        </is>
      </c>
      <c r="M126" s="7" t="inlineStr"/>
      <c r="N126" s="7" t="inlineStr">
        <is>
          <t>https://osnovit.ru/catalog/nalivnye-poly/niplayn-fc42-h-nalivnoy-pol-vysokoprochnyy-osnovit-/</t>
        </is>
      </c>
      <c r="O126" s="7" t="inlineStr">
        <is>
          <t>Два производства с разными характеристиками: в значениях первая строка — г. Коломна, вторая — г. Невинномысск (прочность ≥25/≥20 МПа, хождение 6/24 ч, морозостойкость нет/50 циклов, эксплуатация +5…+70 / -40…+70 °С). Сноска: FC42 производства Коломны — только для внутренних работ, производства Невинномысска — для наружных и внутренних. Строка «Срок хранения» — не две площадки, а 12 мес. бумажный /</t>
        </is>
      </c>
    </row>
    <row r="127">
      <c r="A127" s="7" t="inlineStr">
        <is>
          <t>Основит</t>
        </is>
      </c>
      <c r="B127" s="7" t="inlineStr">
        <is>
          <t>Наливные полы и ровнители</t>
        </is>
      </c>
      <c r="C127" s="7" t="inlineStr">
        <is>
          <t>да</t>
        </is>
      </c>
      <c r="D127" s="7" t="inlineStr">
        <is>
          <t>Основит Ниплайн FC47</t>
        </is>
      </c>
      <c r="E127" s="7" t="inlineStr">
        <is>
          <t>Ровнитель цементный высокопрочный Основит Ниплайн FC47 25 кг</t>
        </is>
      </c>
      <c r="F127" s="7" t="n">
        <v>1</v>
      </c>
      <c r="G127" s="7" t="inlineStr">
        <is>
          <t>Ровнитель высокопрочный Основит Ниплайн FC47 предназначен для выравнивания оснований (слоем от 5 до 50 мм) и устройства прочного пола в жилых, офисных, торговых и общественных помещениях.</t>
        </is>
      </c>
      <c r="H127" s="7" t="inlineStr">
        <is>
          <t>25 кг</t>
        </is>
      </c>
      <c r="I127" s="7" t="inlineStr">
        <is>
          <t>18 кг/м 2</t>
        </is>
      </c>
      <c r="J127" s="7" t="inlineStr">
        <is>
          <t>5-50 мм</t>
        </is>
      </c>
      <c r="K127" s="7" t="inlineStr"/>
      <c r="L127" s="7" t="inlineStr">
        <is>
          <t>—</t>
        </is>
      </c>
      <c r="M127" s="7" t="inlineStr"/>
      <c r="N127" s="7" t="inlineStr">
        <is>
          <t>https://osnovit.ru/catalog/rovniteli/niplayn-fc47/</t>
        </is>
      </c>
      <c r="O127" s="7" t="inlineStr">
        <is>
          <t>Сомнение floor_self_leveling / floor_screed: производитель называет «ровнитель», самовыравнивание не заявлено, «Армированный», рекомендован для всех видов стяжек. В названии техкарты «FС47» (кириллическая С). Ядро не выделилось — взято из полного текста.</t>
        </is>
      </c>
    </row>
    <row r="128">
      <c r="A128" s="7" t="inlineStr">
        <is>
          <t>Основит</t>
        </is>
      </c>
      <c r="B128" s="7" t="inlineStr">
        <is>
          <t>Наливные полы и ровнители</t>
        </is>
      </c>
      <c r="C128" s="7" t="inlineStr">
        <is>
          <t>да</t>
        </is>
      </c>
      <c r="D128" s="7" t="inlineStr">
        <is>
          <t>Основит Ниплайн FK47</t>
        </is>
      </c>
      <c r="E128" s="7" t="inlineStr">
        <is>
          <t>Ровнитель универсальный Основит Ниплайн FK47 25 кг</t>
        </is>
      </c>
      <c r="F128" s="7" t="n">
        <v>1</v>
      </c>
      <c r="G128" s="7" t="inlineStr">
        <is>
          <t>Ровнитель универсальный ОСНОВИТ НИПЛАЙН FK47 предназначен для создания самонивелирующих выравнивающих стяжек (слоем от 5 до 80 мм) и устройства прочного пола в жилых, офисных, торговых и общественных помещениях.</t>
        </is>
      </c>
      <c r="H128" s="7" t="inlineStr">
        <is>
          <t>25 кг</t>
        </is>
      </c>
      <c r="I128" s="7" t="inlineStr">
        <is>
          <t>17 кг/м 2</t>
        </is>
      </c>
      <c r="J128" s="7" t="inlineStr">
        <is>
          <t>5-80 мм</t>
        </is>
      </c>
      <c r="K128" s="7" t="inlineStr"/>
      <c r="L128" s="7" t="inlineStr">
        <is>
          <t>—</t>
        </is>
      </c>
      <c r="M128" s="7" t="inlineStr"/>
      <c r="N128" s="7" t="inlineStr">
        <is>
          <t>https://osnovit.ru/catalog/rovniteli/niplayn-fk47-rovnitel-universalnyy-osnovit/</t>
        </is>
      </c>
      <c r="O128" s="7" t="inlineStr">
        <is>
          <t>Тип на границе ровнитель/стяжка: производитель — «ровнитель», «самонивелирующих выравнивающих стяжек»; отнёс к floor_self_leveling. Только внутри, «Не эксплуатировать без покрытия». Есть дубль-версия «Н» (id ...niplayn-fk47-rovnitel-universalnyy-osnovit-N). Документ «Техническая карта Ниплайн FK47» — без ссылки во входе. Ядро не выделилось — взято из полного текста.</t>
        </is>
      </c>
    </row>
    <row r="129">
      <c r="A129" s="7" t="inlineStr">
        <is>
          <t>Основит</t>
        </is>
      </c>
      <c r="B129" s="7" t="inlineStr">
        <is>
          <t>Наливные полы и ровнители</t>
        </is>
      </c>
      <c r="C129" s="7" t="inlineStr">
        <is>
          <t>да</t>
        </is>
      </c>
      <c r="D129" s="7" t="inlineStr">
        <is>
          <t>Основит Ровилайн FC49</t>
        </is>
      </c>
      <c r="E129" s="7" t="inlineStr">
        <is>
          <t>Пол наливной суперфинишный Основит Ровилайн FC49 20 кг</t>
        </is>
      </c>
      <c r="F129" s="7" t="n">
        <v>1</v>
      </c>
      <c r="G129" s="7" t="inlineStr">
        <is>
          <t>Наливной пол Основит Ровилайн FC49 предназначен для окончательного выравнивания оснований слоем от 0 до 5 мм в жилых и офисных помещениях.</t>
        </is>
      </c>
      <c r="H129" s="7" t="inlineStr">
        <is>
          <t>Вес упаковки
20 кг</t>
        </is>
      </c>
      <c r="I129" s="7" t="inlineStr">
        <is>
          <t>Расход смеси при слое 1 мм
1,6 кг/м 2</t>
        </is>
      </c>
      <c r="J129" s="7" t="inlineStr">
        <is>
          <t>Рекомендуемая толщина слоя
0-5 мм</t>
        </is>
      </c>
      <c r="K129" s="7" t="inlineStr"/>
      <c r="L129" s="7" t="inlineStr">
        <is>
          <t>—</t>
        </is>
      </c>
      <c r="M129" s="7" t="inlineStr"/>
      <c r="N129" s="7" t="inlineStr">
        <is>
          <t>https://osnovit.ru/catalog/nalivnye-poly/rovilayn-fc49-nalivnoy-pol-superfinishnyy-osnovit/</t>
        </is>
      </c>
      <c r="O129" s="7" t="inlineStr">
        <is>
          <t>Суперфинишный, слой 0–5 мм, для внутренних и наружных работ. «Устройство полимерного покрытия через 14 суток*» — «* - с обязательным контролем влажности». ГОСТ не указан. Срок хранения 6 месяцев. Ядро не выделилось — данные из полного текста.</t>
        </is>
      </c>
    </row>
    <row r="130">
      <c r="A130" s="7" t="inlineStr">
        <is>
          <t>Основит</t>
        </is>
      </c>
      <c r="B130" s="7" t="inlineStr">
        <is>
          <t>Наливные полы и ровнители</t>
        </is>
      </c>
      <c r="C130" s="7" t="inlineStr">
        <is>
          <t>да</t>
        </is>
      </c>
      <c r="D130" s="7" t="inlineStr">
        <is>
          <t>Основит Ровилайн FK46</t>
        </is>
      </c>
      <c r="E130" s="7" t="inlineStr">
        <is>
          <t>Пол наливной тонкослойный Основит Ровилайн FK46 20 кг</t>
        </is>
      </c>
      <c r="F130" s="7" t="n">
        <v>1</v>
      </c>
      <c r="G130" s="7" t="inlineStr">
        <is>
          <t>Наливной пол ОСНОВИТ РОВИЛАЙН FK46 предназначен для окончательного выравнивания оснований слоем от 0,5 до 10 мм в жилых и офисных помещениях.</t>
        </is>
      </c>
      <c r="H130" s="7" t="inlineStr">
        <is>
          <t>Вес упаковки
20 кг</t>
        </is>
      </c>
      <c r="I130" s="7" t="inlineStr">
        <is>
          <t>Расход смеси при слое 1 мм
1,6 кг/м 2</t>
        </is>
      </c>
      <c r="J130" s="7" t="inlineStr">
        <is>
          <t>Рекомендуемая толщина слоя
0,5-10 мм</t>
        </is>
      </c>
      <c r="K130" s="7" t="inlineStr"/>
      <c r="L130" s="7" t="inlineStr">
        <is>
          <t>—</t>
        </is>
      </c>
      <c r="M130" s="7" t="inlineStr"/>
      <c r="N130" s="7" t="inlineStr">
        <is>
          <t>https://osnovit.ru/catalog/nalivnye-poly/rovilayn-fk46-nalivnoy-pol-tonkosloynyy-osnovit-/</t>
        </is>
      </c>
      <c r="O130" s="7" t="inlineStr">
        <is>
          <t>Тонкослойный, слой 0,5–10 мм, для помещений с нормальной влажностью, только внутренние работы. Сроки со звёздочкой — «при слое 10 мм и нормальных температурно-влажностных условиях». ГОСТ не указан. Ядро не выделилось — данные из полного текста.</t>
        </is>
      </c>
    </row>
    <row r="131">
      <c r="A131" s="7" t="inlineStr">
        <is>
          <t>Основит</t>
        </is>
      </c>
      <c r="B131" s="7" t="inlineStr">
        <is>
          <t>Наливные полы и ровнители</t>
        </is>
      </c>
      <c r="C131" s="7" t="inlineStr">
        <is>
          <t>да</t>
        </is>
      </c>
      <c r="D131" s="7" t="inlineStr">
        <is>
          <t>Основит Скорлайн FK45 R</t>
        </is>
      </c>
      <c r="E131" s="7" t="inlineStr">
        <is>
          <t>Пол наливной быстротвердеющий Основит Скорлайн FK45 R 20 кг</t>
        </is>
      </c>
      <c r="F131" s="7" t="n">
        <v>1</v>
      </c>
      <c r="G131" s="7" t="inlineStr">
        <is>
          <t>Наливной пол Основит Скорлайн FK45 R предназначен для предварительного и окончательного выравнивания оснований слоем от 2 до 100 мм в жилых и офисных помещениях.</t>
        </is>
      </c>
      <c r="H131" s="7" t="inlineStr">
        <is>
          <t>Вес упаковки
20 кг</t>
        </is>
      </c>
      <c r="I131" s="7" t="inlineStr">
        <is>
          <t>Расход смеси при слое 10 мм
16-17 кг/м 2</t>
        </is>
      </c>
      <c r="J131" s="7" t="inlineStr">
        <is>
          <t>Рекомендуемая толщина слоя
2-100 мм</t>
        </is>
      </c>
      <c r="K131" s="7" t="inlineStr"/>
      <c r="L131" s="7" t="inlineStr">
        <is>
          <t>—</t>
        </is>
      </c>
      <c r="M131" s="7" t="inlineStr"/>
      <c r="N131" s="7" t="inlineStr">
        <is>
          <t>https://osnovit.ru/catalog/nalivnye-poly/skorlayn-fk45r/</t>
        </is>
      </c>
      <c r="O131" s="7" t="inlineStr">
        <is>
          <t>Армирован фиброволокном; для сухих и влажных помещений; основания не менее 15 МПа. Сроки отмечены «* - при слое 10 мм и нормальных температурно-влажностных условиях». ГОСТ не указан. Дубль старой версии — карточка «…skorlayn-fk45r-N» в этой пачке. Ядро не выделилось — данные из полного текста.</t>
        </is>
      </c>
    </row>
    <row r="132">
      <c r="A132" s="7" t="inlineStr">
        <is>
          <t>Основит</t>
        </is>
      </c>
      <c r="B132" s="7" t="inlineStr">
        <is>
          <t>Наливные полы и ровнители</t>
        </is>
      </c>
      <c r="C132" s="7" t="inlineStr">
        <is>
          <t>да</t>
        </is>
      </c>
      <c r="D132" s="7" t="inlineStr">
        <is>
          <t>Основит Скорлайн FK48 R</t>
        </is>
      </c>
      <c r="E132" s="7" t="inlineStr">
        <is>
          <t>Пол наливной быстротвердеющий универсальный Основит Скорлайн FK48 R 20 кг</t>
        </is>
      </c>
      <c r="F132" s="7" t="n">
        <v>1</v>
      </c>
      <c r="G132" s="7" t="inlineStr">
        <is>
          <t>Наливной пол универсальный Основит Скорлайн FK48 R предназначен для предварительного и окончательного выравнивания оснований слоем от 3 до 80 мм в жилых и офисных помещениях.</t>
        </is>
      </c>
      <c r="H132" s="7" t="inlineStr">
        <is>
          <t>Вес упаковки
20 кг</t>
        </is>
      </c>
      <c r="I132" s="7" t="inlineStr">
        <is>
          <t>Расход смеси при слое 10 мм
14-15 кг/м 2</t>
        </is>
      </c>
      <c r="J132" s="7" t="inlineStr">
        <is>
          <t>Рекомендуемая толщина слоя
3-80 мм</t>
        </is>
      </c>
      <c r="K132" s="7" t="inlineStr"/>
      <c r="L132" s="7" t="inlineStr">
        <is>
          <t>—</t>
        </is>
      </c>
      <c r="M132" s="7" t="inlineStr"/>
      <c r="N132" s="7" t="inlineStr">
        <is>
          <t>https://osnovit.ru/catalog/nalivnye-poly/skorlayn-fk48-r/</t>
        </is>
      </c>
      <c r="O132" s="7" t="inlineStr">
        <is>
          <t>Универсальный быстротвердеющий наливной пол, слой 3–80 мм. ГОСТ не указан. Ядро не выделилось — данные из полного текста.</t>
        </is>
      </c>
    </row>
    <row r="133">
      <c r="A133" s="7" t="inlineStr">
        <is>
          <t>Perel</t>
        </is>
      </c>
      <c r="B133" s="7" t="inlineStr">
        <is>
          <t>Гидроизоляция сухая и гидропломба</t>
        </is>
      </c>
      <c r="C133" s="7" t="inlineStr">
        <is>
          <t>да</t>
        </is>
      </c>
      <c r="D133" s="7" t="inlineStr">
        <is>
          <t>Perel Aquastop</t>
        </is>
      </c>
      <c r="E133" s="7" t="inlineStr">
        <is>
          <t>Perel Aquastop, 25 кг, гидроизоляционная смесь</t>
        </is>
      </c>
      <c r="F133" s="7" t="n">
        <v>1</v>
      </c>
      <c r="G133" s="7" t="inlineStr">
        <is>
          <t>Обмазочная жесткая гидроизоляционная смесь на основе цемента, фракционированного песка и гидрофобного полимера, для защиты подвальных помещений, цокольных этажей, бассейнов, ванных комнат, отмосток, фундаментов и т.п. от проникновения воды.</t>
        </is>
      </c>
      <c r="H133" s="7" t="inlineStr">
        <is>
          <t>Бумажные крафт-мешки по 25 кг.</t>
        </is>
      </c>
      <c r="I133" s="7" t="inlineStr">
        <is>
          <t>Около 4-5 кг/м² при нанесении в два слоя общей толщиной 2-3 мм.</t>
        </is>
      </c>
      <c r="J133" s="7" t="inlineStr">
        <is>
          <t>общей толщиной 2-3 мм</t>
        </is>
      </c>
      <c r="K133" s="7" t="inlineStr"/>
      <c r="L133" s="7" t="inlineStr">
        <is>
          <t>—</t>
        </is>
      </c>
      <c r="M133" s="7" t="inlineStr"/>
      <c r="N133" s="7" t="inlineStr">
        <is>
          <t>https://td-perel.ru/catalog/gidroizolyatsiya/perel-aquastop-0810/</t>
        </is>
      </c>
      <c r="O133" s="7" t="inlineStr">
        <is>
          <t>Для внутренних или наружных работ — прямо не сказано. Жизнеспособность раствора 40 минут. Норматив (ГОСТ) не указан; в блоке «Характеристики» только артикул.</t>
        </is>
      </c>
    </row>
    <row r="134">
      <c r="A134" s="7" t="inlineStr">
        <is>
          <t>Основит</t>
        </is>
      </c>
      <c r="B134" s="7" t="inlineStr">
        <is>
          <t>Гидроизоляция сухая и гидропломба</t>
        </is>
      </c>
      <c r="C134" s="7" t="inlineStr">
        <is>
          <t>да</t>
        </is>
      </c>
      <c r="D134" s="7" t="inlineStr">
        <is>
          <t>Основит Акваскрин HC61</t>
        </is>
      </c>
      <c r="E134" s="7" t="inlineStr">
        <is>
          <t>Гидропломба Основит Акваскрин HC61 500 г</t>
        </is>
      </c>
      <c r="F134" s="7" t="n">
        <v>1</v>
      </c>
      <c r="G134" s="7" t="inlineStr">
        <is>
          <t>предназначена для остановки протечек воды через трещины, щели, отверстия, швы в бетонных конструкциях, кирпичной кладке, цементной штукатурке или стяжке.</t>
        </is>
      </c>
      <c r="H134" s="7" t="inlineStr">
        <is>
          <t>500 г</t>
        </is>
      </c>
      <c r="I134" s="7" t="inlineStr"/>
      <c r="J134" s="7" t="inlineStr"/>
      <c r="K134" s="7" t="inlineStr">
        <is>
          <t>ГОСТ 31357-2007</t>
        </is>
      </c>
      <c r="L134" s="7" t="inlineStr">
        <is>
          <t>—</t>
        </is>
      </c>
      <c r="M134" s="7" t="inlineStr"/>
      <c r="N134" s="7" t="inlineStr">
        <is>
          <t>https://osnovit.ru/catalog/gidroizolyatsiya/akvaskrin-t-61/</t>
        </is>
      </c>
      <c r="O134" s="7" t="inlineStr">
        <is>
          <t>Ранее называлась Акваскрин Т-61 (так в тексте). Возможно применение под водой; после неё производитель требует жёсткую гидроизоляцию HC63. Расход смеси на м² не указан.</t>
        </is>
      </c>
    </row>
    <row r="135">
      <c r="A135" s="7" t="inlineStr">
        <is>
          <t>Основит</t>
        </is>
      </c>
      <c r="B135" s="7" t="inlineStr">
        <is>
          <t>Гидроизоляция сухая и гидропломба</t>
        </is>
      </c>
      <c r="C135" s="7" t="inlineStr">
        <is>
          <t>да</t>
        </is>
      </c>
      <c r="D135" s="7" t="inlineStr">
        <is>
          <t>Основит Акваскрин HC62 E1K</t>
        </is>
      </c>
      <c r="E135" s="7" t="inlineStr">
        <is>
          <t>Гидроизоляция эластичная однокомпонентная Основит Акваскрин HC62 E1K 20 кг</t>
        </is>
      </c>
      <c r="F135" s="7" t="n">
        <v>1</v>
      </c>
      <c r="G135" s="7" t="inlineStr">
        <is>
          <t>предназначена для устройства эластичных гидроизоляционных покрытий на минеральных основаниях, подвергающихся в процессе эксплуатации незначительным деформациям.</t>
        </is>
      </c>
      <c r="H135" s="7" t="inlineStr">
        <is>
          <t>20 кг</t>
        </is>
      </c>
      <c r="I135" s="7" t="inlineStr">
        <is>
          <t>1,3-1,5 кг/м²</t>
        </is>
      </c>
      <c r="J135" s="7" t="inlineStr">
        <is>
          <t>1-3 мм</t>
        </is>
      </c>
      <c r="K135" s="7" t="inlineStr">
        <is>
          <t>ГОСТ 31357-2007</t>
        </is>
      </c>
      <c r="L135" s="7" t="inlineStr">
        <is>
          <t>—</t>
        </is>
      </c>
      <c r="M135" s="7" t="inlineStr"/>
      <c r="N135" s="7" t="inlineStr">
        <is>
          <t>https://osnovit.ru/catalog/gidroizolyatsiya/akvaskrin-hc62-e1k-gidroizolyatsiya-elastichnaya-odnokomponentnaya-osnovit-/</t>
        </is>
      </c>
      <c r="O135" s="7" t="inlineStr">
        <is>
          <t>Однокомпонентная эластичная цементная гидроизоляция. Расход 1,3-1,5 кг/м² — на слой 1 мм. Срок хранения 12 мес. в бумажном, 24 мес. в пластиковом мешке.</t>
        </is>
      </c>
    </row>
    <row r="136">
      <c r="A136" s="7" t="inlineStr">
        <is>
          <t>Основит</t>
        </is>
      </c>
      <c r="B136" s="7" t="inlineStr">
        <is>
          <t>Гидроизоляция сухая и гидропломба</t>
        </is>
      </c>
      <c r="C136" s="7" t="inlineStr">
        <is>
          <t>да</t>
        </is>
      </c>
      <c r="D136" s="7" t="inlineStr">
        <is>
          <t>Основит Акваскрин HC63</t>
        </is>
      </c>
      <c r="E136" s="7" t="inlineStr">
        <is>
          <t>Гидроизоляция жесткая Основит Акваскрин HC63 20 кг</t>
        </is>
      </c>
      <c r="F136" s="7" t="n">
        <v>1</v>
      </c>
      <c r="G136" s="7" t="inlineStr">
        <is>
          <t>предназначена для гидроизоляции фундаментов зданий, фасадов, цоколей, подвалов, балконов, террас, стен и полов во влажных помещениях.</t>
        </is>
      </c>
      <c r="H136" s="7" t="inlineStr">
        <is>
          <t>20 кг</t>
        </is>
      </c>
      <c r="I136" s="7" t="inlineStr">
        <is>
          <t>4,5 кг/м²</t>
        </is>
      </c>
      <c r="J136" s="7" t="inlineStr">
        <is>
          <t>3-4 мм</t>
        </is>
      </c>
      <c r="K136" s="7" t="inlineStr">
        <is>
          <t>ГОСТ 31357-2007</t>
        </is>
      </c>
      <c r="L136" s="7" t="inlineStr">
        <is>
          <t>—</t>
        </is>
      </c>
      <c r="M136" s="7" t="inlineStr"/>
      <c r="N136" s="7" t="inlineStr">
        <is>
          <t>https://osnovit.ru/catalog/gidroizolyatsiya/akvaskrin-ns63-zhestkaya-gidroizolyatsiya-osnovit-/</t>
        </is>
      </c>
      <c r="O136" s="7" t="inlineStr">
        <is>
          <t>Расход 4,5 кг/м² — при слое 3 мм. Срок хранения 12 мес. в бумажном мешке, 24 мес. в пластиковом. Возможен контакт с питьевой водой. В заголовке код латиницей «HC63», в тексте — кириллицей «НС63».</t>
        </is>
      </c>
    </row>
    <row r="137">
      <c r="A137" s="7" t="inlineStr">
        <is>
          <t>Основит</t>
        </is>
      </c>
      <c r="B137" s="7" t="inlineStr">
        <is>
          <t>Гидроизоляция сухая и гидропломба</t>
        </is>
      </c>
      <c r="C137" s="7" t="inlineStr">
        <is>
          <t>да</t>
        </is>
      </c>
      <c r="D137" s="7" t="inlineStr">
        <is>
          <t>Основит Акваскрин HC65</t>
        </is>
      </c>
      <c r="E137" s="7" t="inlineStr">
        <is>
          <t>Гидроизоляция проникающая водоостанавливающая Основит Акваскрин HC65 20 кг</t>
        </is>
      </c>
      <c r="F137" s="7" t="n">
        <v>1</v>
      </c>
      <c r="G137" s="7" t="inlineStr">
        <is>
          <t>предназначена для гидроизоляции бетонных конструкций изнутри:</t>
        </is>
      </c>
      <c r="H137" s="7" t="inlineStr">
        <is>
          <t>20 кг</t>
        </is>
      </c>
      <c r="I137" s="7" t="inlineStr"/>
      <c r="J137" s="7" t="inlineStr"/>
      <c r="K137" s="7" t="inlineStr">
        <is>
          <t>ГОСТ 34669-2020</t>
        </is>
      </c>
      <c r="L137" s="7" t="inlineStr">
        <is>
          <t>—</t>
        </is>
      </c>
      <c r="M137" s="7" t="inlineStr"/>
      <c r="N137" s="7" t="inlineStr">
        <is>
          <t>https://osnovit.ru/catalog/gidroizolyatsiya/akvaskrin-hc65-vodoostonavlivayushchaya-gidroizolyatsiya-pronikayushchaya-osnovit/</t>
        </is>
      </c>
      <c r="O137" s="7" t="inlineStr">
        <is>
          <t>Расход смеси 1,6 кг/м² на 2 слоя — единицы в названии характеристики, число отдельной строкой, поэтому consumption_quote пуст (см. characteristics). Подходит для резервуаров с питьевой водой. На странице подробная инструкция по применению.</t>
        </is>
      </c>
    </row>
    <row r="138">
      <c r="A138" s="7" t="inlineStr">
        <is>
          <t>Основит</t>
        </is>
      </c>
      <c r="B138" s="7" t="inlineStr">
        <is>
          <t>Гидроизоляция сухая и гидропломба</t>
        </is>
      </c>
      <c r="C138" s="7" t="inlineStr">
        <is>
          <t>да</t>
        </is>
      </c>
      <c r="D138" s="7" t="inlineStr">
        <is>
          <t>Основит Акваскрин HC66</t>
        </is>
      </c>
      <c r="E138" s="7" t="inlineStr">
        <is>
          <t>Состав гидроизоляционный шовный с проникающим эффектом Основит Акваскрин HC66 4 кг</t>
        </is>
      </c>
      <c r="F138" s="7" t="n">
        <v>1</v>
      </c>
      <c r="G138" s="7" t="inlineStr">
        <is>
          <t>применяется для заделки стабилизированных стыков примыкания и швов в бетонных, железобетонных и каменных конструкциях при отсутствии постоянной активной</t>
        </is>
      </c>
      <c r="H138" s="7" t="inlineStr">
        <is>
          <t>Полиэтиленовые мешки 4кг и 8кг</t>
        </is>
      </c>
      <c r="I138" s="7" t="inlineStr"/>
      <c r="J138" s="7" t="inlineStr">
        <is>
          <t>Слой нанесения 5-70 мм</t>
        </is>
      </c>
      <c r="K138" s="7" t="inlineStr">
        <is>
          <t>ГОСТ 31357-2007</t>
        </is>
      </c>
      <c r="L138" s="7" t="inlineStr">
        <is>
          <t>—</t>
        </is>
      </c>
      <c r="M138" s="7" t="inlineStr"/>
      <c r="N138" s="7" t="inlineStr">
        <is>
          <t>https://osnovit.ru/catalog/gidroizolyatsiya/akvaskrin-hc66-shovnyy-gidroizolyatsionnyy-sostav-s-pronikayushchim-effektom-osnovit/</t>
        </is>
      </c>
      <c r="O138" s="7" t="inlineStr">
        <is>
          <t>Расход 2,0 кг/м² на 1 мм — число отдельной строкой от единиц, consumption_quote пуст (см. characteristics). Фраза назначения на странице оборвана («при отсутствии постоянной активной :»). Расхождение: в тексте срок хранения 12 месяцев, в характеристиках 24 месяца. Морозостойкость на странице разбита на две строки («F 1» / «1000, F 2 300») — в characteristics не включена. Фасовки 4 и 8 кг.</t>
        </is>
      </c>
    </row>
    <row r="139">
      <c r="A139" s="7" t="inlineStr">
        <is>
          <t>Perel</t>
        </is>
      </c>
      <c r="B139" s="7" t="inlineStr">
        <is>
          <t>Смеси для систем утепления фасада (клеевые и базовые)</t>
        </is>
      </c>
      <c r="C139" s="7" t="inlineStr">
        <is>
          <t>да</t>
        </is>
      </c>
      <c r="D139" s="7" t="inlineStr">
        <is>
          <t>Perel Termix</t>
        </is>
      </c>
      <c r="E139" s="7" t="inlineStr">
        <is>
          <t>Perel Termix, 25 кг, штукатурно-клеевая смесь</t>
        </is>
      </c>
      <c r="F139" s="7" t="n">
        <v>1</v>
      </c>
      <c r="G139" s="7" t="inlineStr">
        <is>
          <t>Специализированная сухая смесь на основе цементного вяжущего, минеральных и полимерных добавок для монтажа плит утеплителя по любым недеформируемым основаниям, а также для устройства армирующего слоя с использованием щёлочестойкой сетки с плотностью не ниже 145 гр/м².</t>
        </is>
      </c>
      <c r="H139" s="7" t="inlineStr">
        <is>
          <t>Бумажные крафт-мешки по 25 кг.</t>
        </is>
      </c>
      <c r="I139" s="7" t="inlineStr">
        <is>
          <t>в среднем 1,6-1,8 кг/м²</t>
        </is>
      </c>
      <c r="J139" s="7" t="inlineStr">
        <is>
          <t>наносят слой клеевой смеси толщиной 3 мм</t>
        </is>
      </c>
      <c r="K139" s="7" t="inlineStr"/>
      <c r="L139" s="7" t="inlineStr">
        <is>
          <t>есть</t>
        </is>
      </c>
      <c r="M139" s="7" t="inlineStr"/>
      <c r="N139" s="7" t="inlineStr">
        <is>
          <t>https://td-perel.ru/catalog/montazhnyy-kley/kleevaya-smes-perel-termix/</t>
        </is>
      </c>
      <c r="O139" s="7" t="inlineStr">
        <is>
          <t>Лежит в разделе «Монтажные клея», по назначению — клей и базовый армирующий слой СФТК. Упомянута модификация «зима» (отдельной зимней карточки в пачке нет). В характеристиках только артикул и цвет. Текст почти дословно совпадает с Termix-M (0320) — чем они отличаются, на странице не сказано (цены разные).</t>
        </is>
      </c>
    </row>
    <row r="140">
      <c r="A140" s="7" t="inlineStr">
        <is>
          <t>Perel</t>
        </is>
      </c>
      <c r="B140" s="7" t="inlineStr">
        <is>
          <t>Смеси для систем утепления фасада (клеевые и базовые)</t>
        </is>
      </c>
      <c r="C140" s="7" t="inlineStr">
        <is>
          <t>да</t>
        </is>
      </c>
      <c r="D140" s="7" t="inlineStr">
        <is>
          <t>Perel Termix-M</t>
        </is>
      </c>
      <c r="E140" s="7" t="inlineStr">
        <is>
          <t>Perel Termix-M, 25 кг, штукатурно-клеевая смесь</t>
        </is>
      </c>
      <c r="F140" s="7" t="n">
        <v>1</v>
      </c>
      <c r="G140" s="7" t="inlineStr">
        <is>
          <t>Специализированная сухая смесь на основе цементного вяжущего, минеральных и полимерных добавок для монтажа плит утеплителя по любым недеформируемым основаниям, а также для устройства армирующего слоя с использованием щёлочестойкой сетки с плотностью не ниже 145 гр/м².</t>
        </is>
      </c>
      <c r="H140" s="7" t="inlineStr">
        <is>
          <t>Бумажные крафт-мешки по 25 кг.</t>
        </is>
      </c>
      <c r="I140" s="7" t="inlineStr">
        <is>
          <t>в среднем 1,6-1,8 кг/м²</t>
        </is>
      </c>
      <c r="J140" s="7" t="inlineStr">
        <is>
          <t>наносят слой клеевой смеси толщиной 3 мм</t>
        </is>
      </c>
      <c r="K140" s="7" t="inlineStr"/>
      <c r="L140" s="7" t="inlineStr">
        <is>
          <t>—</t>
        </is>
      </c>
      <c r="M140" s="7" t="inlineStr"/>
      <c r="N140" s="7" t="inlineStr">
        <is>
          <t>https://td-perel.ru/catalog/montazhnyy-kley/kleevaya-smes-perel-termix-m/</t>
        </is>
      </c>
      <c r="O140" s="7" t="inlineStr">
        <is>
          <t>Описание почти идентично Termix (0319), смысл «-M» на странице не раскрыт (дороже Termix). Модификации «зима» здесь не упомянуто. В характеристиках только артикул и цвет. Возможно, это вариант Termix, а не отдельная серия — проверить по PDF-каталогу Perel.</t>
        </is>
      </c>
    </row>
    <row r="141">
      <c r="A141" s="7" t="inlineStr">
        <is>
          <t>Основит</t>
        </is>
      </c>
      <c r="B141" s="7" t="inlineStr">
        <is>
          <t>Смеси для систем утепления фасада (клеевые и базовые)</t>
        </is>
      </c>
      <c r="C141" s="7" t="inlineStr">
        <is>
          <t>да</t>
        </is>
      </c>
      <c r="D141" s="7" t="inlineStr">
        <is>
          <t>Основит Каверпликс AC115</t>
        </is>
      </c>
      <c r="E141" s="7" t="inlineStr">
        <is>
          <t>Смесь клеевая Основит Каверпликс AC115 25 кг</t>
        </is>
      </c>
      <c r="F141" s="7" t="n">
        <v>2</v>
      </c>
      <c r="G141" s="7" t="inlineStr">
        <is>
          <t>Клеевая смесь Основит Каверпликс АС115 предназначена для монтажа минераловатных плит. Рекомендуется для создания «дышащих» систем утепления фасадов как новых, так и старых зданий.</t>
        </is>
      </c>
      <c r="H141" s="7" t="inlineStr">
        <is>
          <t>Вес упаковки
25 кг</t>
        </is>
      </c>
      <c r="I141" s="7" t="inlineStr">
        <is>
          <t>Расход смеси при слое 1 мм
1,3-1,5 кг/м2</t>
        </is>
      </c>
      <c r="J141" s="7" t="inlineStr">
        <is>
          <t>Рекомендуемая толщина слоя
3-20 мм</t>
        </is>
      </c>
      <c r="K141" s="7" t="inlineStr">
        <is>
          <t>В5 , Btb1,6, Aab2, F75 ГОСТ Р 54359-2017</t>
        </is>
      </c>
      <c r="L141" s="7" t="inlineStr">
        <is>
          <t>есть</t>
        </is>
      </c>
      <c r="M141" s="7" t="inlineStr"/>
      <c r="N141" s="7" t="inlineStr">
        <is>
          <t>https://osnovit.ru/catalog/kleevye-sostavy/kleevaya-smes-kaverpliks-as115-/</t>
        </is>
      </c>
      <c r="O141" s="7" t="inlineStr">
        <is>
          <t>Только минвата (жёсткое крепление утеплителя). Среди преимуществ у летней версии стоит «Ускоренный набор прочности в зимнее время» — странно для незимней смеси (возможно, перенесено с AC115 F). Зимняя версия AC115 F — отдельная карточка в пачке (в тексте этой не упомянута). На странице нет кнопок «Купить/Рассчитать». Срок хранения 12 мес. бумажный / 24 мес. пластиковый мешок.</t>
        </is>
      </c>
    </row>
    <row r="142">
      <c r="A142" s="7" t="inlineStr">
        <is>
          <t>Основит</t>
        </is>
      </c>
      <c r="B142" s="7" t="inlineStr">
        <is>
          <t>Смеси для систем утепления фасада (клеевые и базовые)</t>
        </is>
      </c>
      <c r="C142" s="7" t="inlineStr">
        <is>
          <t>да</t>
        </is>
      </c>
      <c r="D142" s="7" t="inlineStr">
        <is>
          <t>Основит Каверпликс AC116</t>
        </is>
      </c>
      <c r="E142" s="7" t="inlineStr">
        <is>
          <t>Смесь клеевая Основит Каверпликс AC116 25 кг</t>
        </is>
      </c>
      <c r="F142" s="7" t="n">
        <v>2</v>
      </c>
      <c r="G142" s="7" t="inlineStr">
        <is>
          <t>Клеевая смесь ОСНОВИТ КАВЕРПЛИКС AC116 предназначена для монтажа пенополистирольных и минераловатных плит. Рекомендуется для создания «дышащих» систем утепления фасадов как новых, так и старых зданий.</t>
        </is>
      </c>
      <c r="H142" s="7" t="inlineStr">
        <is>
          <t>Вес упаковки
25 кг</t>
        </is>
      </c>
      <c r="I142" s="7" t="inlineStr">
        <is>
          <t>Расход смеси при слое 1 мм
1,3-1,5 кг/м²</t>
        </is>
      </c>
      <c r="J142" s="7" t="inlineStr">
        <is>
          <t>Рекомендуемая толщина клеевого слоя
3-20 мм</t>
        </is>
      </c>
      <c r="K142" s="7" t="inlineStr">
        <is>
          <t>В5 , Btb1,6, Aab2, F75, ГОСТ Р 54359-2017</t>
        </is>
      </c>
      <c r="L142" s="7" t="inlineStr">
        <is>
          <t>есть</t>
        </is>
      </c>
      <c r="M142" s="7" t="inlineStr"/>
      <c r="N142" s="7" t="inlineStr">
        <is>
          <t>https://osnovit.ru/catalog/kleevye-sostavy/kleevaya-smes-osnovit-kaverpliks-ac116/</t>
        </is>
      </c>
      <c r="O142" s="7" t="inlineStr">
        <is>
          <t>Документация: техкарта, декларация, сертификат пожарной безопасности, СГР — названы, PDF-ссылок во входе нет. Зимняя версия AC116 F — отдельная карточка в пачке. На странице нет кнопок «Купить/Рассчитать». Срок хранения 12/24 мес.</t>
        </is>
      </c>
    </row>
    <row r="143">
      <c r="A143" s="7" t="inlineStr">
        <is>
          <t>Основит</t>
        </is>
      </c>
      <c r="B143" s="7" t="inlineStr">
        <is>
          <t>Смеси для систем утепления фасада (клеевые и базовые)</t>
        </is>
      </c>
      <c r="C143" s="7" t="inlineStr">
        <is>
          <t>да</t>
        </is>
      </c>
      <c r="D143" s="7" t="inlineStr">
        <is>
          <t>Основит Каверпликс AC117</t>
        </is>
      </c>
      <c r="E143" s="7" t="inlineStr">
        <is>
          <t>Смесь клеевая зимняя Основит Каверпликс AC117 F 25 кг</t>
        </is>
      </c>
      <c r="F143" s="7" t="n">
        <v>2</v>
      </c>
      <c r="G143" s="7" t="inlineStr">
        <is>
          <t>Зимняя клеевая смесь ОСНОВИТ КАВЕРПЛИКС АС117 F предназначена для создания клеевого слоя СФТК ОСНОВИТ при низких температурах окружающего воздуха от -10 до +10°C.</t>
        </is>
      </c>
      <c r="H143" s="7" t="inlineStr">
        <is>
          <t>Вес упаковки
25 кг</t>
        </is>
      </c>
      <c r="I143" s="7" t="inlineStr">
        <is>
          <t>Расход смеси при слое 1 мм
1,3-1,5 кг/м 2</t>
        </is>
      </c>
      <c r="J143" s="7" t="inlineStr">
        <is>
          <t>Рекомендуемая толщина клеевого слоя
3-20 мм</t>
        </is>
      </c>
      <c r="K143" s="7" t="inlineStr">
        <is>
          <t>В7,5 , Btb3,2, Aab4, F100, ГОСТ Р 54359-2017</t>
        </is>
      </c>
      <c r="L143" s="7" t="inlineStr">
        <is>
          <t>есть</t>
        </is>
      </c>
      <c r="M143" s="7" t="inlineStr">
        <is>
          <t>красный</t>
        </is>
      </c>
      <c r="N143" s="7" t="inlineStr">
        <is>
          <t>https://osnovit.ru/catalog/kleevye-sostavy/kaverpliks-ac117-f-zimnyaya-kleevaya-smes-osnovit/</t>
        </is>
      </c>
      <c r="O143" s="7" t="inlineStr">
        <is>
          <t>В характеристиках «Цвет: красный» — для клеевой смеси странно (возможно, окраска зимней смеси или ошибка карточки; не проверено). Оговорка: возможна фасовка в мешок «КАВЕРПЛИКС АС117» со стикером «зимний». Применяется для фасадного ППС, экструдированного ППС, минваты. Вода — «см. на упаковке». Коэффициент паропроницаемости подписан «МПа», а значение в мг/м ч Па.</t>
        </is>
      </c>
    </row>
    <row r="144">
      <c r="A144" s="7" t="inlineStr">
        <is>
          <t>Основит</t>
        </is>
      </c>
      <c r="B144" s="7" t="inlineStr">
        <is>
          <t>Смеси для систем утепления фасада (клеевые и базовые)</t>
        </is>
      </c>
      <c r="C144" s="7" t="inlineStr">
        <is>
          <t>да</t>
        </is>
      </c>
      <c r="D144" s="7" t="inlineStr">
        <is>
          <t>Основит Каверпликс PC117 W</t>
        </is>
      </c>
      <c r="E144" s="7" t="inlineStr">
        <is>
          <t>Смесь штукатурная белая армированная Основит Каверпликс PC117 W 25 кг</t>
        </is>
      </c>
      <c r="F144" s="7" t="n">
        <v>1</v>
      </c>
      <c r="G144" s="7" t="inlineStr">
        <is>
          <t>Штукатурка армированная белая Основит Каверпликс РС117 W предназначена для создания армированного базового штукатурного слоя.</t>
        </is>
      </c>
      <c r="H144" s="7" t="inlineStr">
        <is>
          <t>25 кг</t>
        </is>
      </c>
      <c r="I144" s="7" t="inlineStr">
        <is>
          <t>Расход смеси при слое 1 мм
1,4-1,5 кг/м 2</t>
        </is>
      </c>
      <c r="J144" s="7" t="inlineStr">
        <is>
          <t>2-5 мм</t>
        </is>
      </c>
      <c r="K144" s="7" t="inlineStr">
        <is>
          <t>В7,5 , Btb3,2, Aab4, F100, ГОСТ Р 54359-2017</t>
        </is>
      </c>
      <c r="L144" s="7" t="inlineStr">
        <is>
          <t>—</t>
        </is>
      </c>
      <c r="M144" s="7" t="inlineStr">
        <is>
          <t>белый</t>
        </is>
      </c>
      <c r="N144" s="7" t="inlineStr">
        <is>
          <t>https://osnovit.ru/catalog/bazovye-shtukaturnye-sostavy/osnovit-kaverpliks-pc117-w/</t>
        </is>
      </c>
      <c r="O144" s="7" t="inlineStr">
        <is>
          <t xml:space="preserve">Базовый армированный слой СФТК (не клей): мог бы идти и как plaster_facade_base, выбран etics_adhesive_base как состав системы утепления; также «Рекомендован при создании тонкослойных штукатурных систем без утепления». В h1 код латиницей PC117 W, в тексте кириллицей «РС117 W». В разделе «Документация» есть техкарта, декларация, сертификат, СГР — ссылок на PDF во входе нет. Цены нет (только кнопки </t>
        </is>
      </c>
    </row>
    <row r="145">
      <c r="A145" s="7" t="inlineStr">
        <is>
          <t>Основит</t>
        </is>
      </c>
      <c r="B145" s="7" t="inlineStr">
        <is>
          <t>Смеси для систем утепления фасада (клеевые и базовые)</t>
        </is>
      </c>
      <c r="C145" s="7" t="inlineStr">
        <is>
          <t>да</t>
        </is>
      </c>
      <c r="D145" s="7" t="inlineStr">
        <is>
          <t>Основит Каверпликс TC115</t>
        </is>
      </c>
      <c r="E145" s="7" t="inlineStr">
        <is>
          <t>Смесь штукатурно-клеевая зимняя Основит Каверпликс TC115 F 25 кг</t>
        </is>
      </c>
      <c r="F145" s="7" t="n">
        <v>2</v>
      </c>
      <c r="G145" s="7" t="inlineStr">
        <is>
          <t>Зимняя штукатурно-клеевая смесь Основит Каверпликс ТС115 F предназначена для монтажа минераловатных плит, создания армированного базового штукатурного слоя при низких температурах окружающего воздуха от -10°C до +10°C.</t>
        </is>
      </c>
      <c r="H145" s="7" t="inlineStr">
        <is>
          <t>25 кг</t>
        </is>
      </c>
      <c r="I145" s="7" t="inlineStr">
        <is>
          <t>Расход смеси при слое 1 мм
1,3-1,5 кг/м²</t>
        </is>
      </c>
      <c r="J145" s="7" t="inlineStr">
        <is>
          <t>3-20 мм</t>
        </is>
      </c>
      <c r="K145" s="7" t="inlineStr">
        <is>
          <t>В5 , Btb1,6, Aab2, F75, ГОСТ Р 54359-2017</t>
        </is>
      </c>
      <c r="L145" s="7" t="inlineStr">
        <is>
          <t>есть</t>
        </is>
      </c>
      <c r="M145" s="7" t="inlineStr"/>
      <c r="N145" s="7" t="inlineStr">
        <is>
          <t>https://osnovit.ru/catalog/kleevye-sostavy/shtukaturno-kleevaya-smes-kaverpliks-ts115f/</t>
        </is>
      </c>
      <c r="O145" s="7" t="inlineStr">
        <is>
          <t>Зимняя модификация TC115 (метка «Зима», «Для работ при температурах от -10°C до +10°C»). Расход воды — «см. на упаковке»; жизнеспособность 60 мин против 120 у летней. ГОСТ другой: Р 59197-2020. Ссылок на PDF во входе нет.</t>
        </is>
      </c>
    </row>
    <row r="146">
      <c r="A146" s="7" t="inlineStr">
        <is>
          <t>Основит</t>
        </is>
      </c>
      <c r="B146" s="7" t="inlineStr">
        <is>
          <t>Смеси для систем утепления фасада (клеевые и базовые)</t>
        </is>
      </c>
      <c r="C146" s="7" t="inlineStr">
        <is>
          <t>да</t>
        </is>
      </c>
      <c r="D146" s="7" t="inlineStr">
        <is>
          <t>Основит Каверпликс TC116</t>
        </is>
      </c>
      <c r="E146" s="7" t="inlineStr">
        <is>
          <t>Смесь штукатурно-клеевая зимняя Основит Каверпликс TC116 F 25 кг</t>
        </is>
      </c>
      <c r="F146" s="7" t="n">
        <v>2</v>
      </c>
      <c r="G146" s="7" t="inlineStr">
        <is>
          <t>Зимняя штукатурно-клеевая смесь Основит Каверпликс ТС116 F предназначена для монтажа пенополистирольных и минераловатных плит, создания армированного базового штукатурного слоя при низких температурах окружающего воздуха от -10°C до +10°C.</t>
        </is>
      </c>
      <c r="H146" s="7" t="inlineStr">
        <is>
          <t>25 кг</t>
        </is>
      </c>
      <c r="I146" s="7" t="inlineStr">
        <is>
          <t>Расход смеси при слое 1 мм
1,3-1,5 кг/м²</t>
        </is>
      </c>
      <c r="J146" s="7" t="inlineStr">
        <is>
          <t>3-20 мм</t>
        </is>
      </c>
      <c r="K146" s="7" t="inlineStr">
        <is>
          <t>В5 , Btb1,6, Aab2, F75, ГОСТ Р 54359-2017</t>
        </is>
      </c>
      <c r="L146" s="7" t="inlineStr">
        <is>
          <t>есть</t>
        </is>
      </c>
      <c r="M146" s="7" t="inlineStr"/>
      <c r="N146" s="7" t="inlineStr">
        <is>
          <t>https://osnovit.ru/catalog/smesi-dlya-teploizolyatsii/zimnyaya-shtukaturno-kleevaya-smes-osnovit-kaverpliks-tc116-f/</t>
        </is>
      </c>
      <c r="O146" s="7" t="inlineStr">
        <is>
          <t>Зимняя модификация TC116. В характеристиках название строки усечено производителем: «Прочность с теплоизоляционной плитой». Расход воды — «см. на упаковке». Ссылок на PDF во входе нет.</t>
        </is>
      </c>
    </row>
    <row r="147">
      <c r="A147" s="7" t="inlineStr">
        <is>
          <t>Основит</t>
        </is>
      </c>
      <c r="B147" s="7" t="inlineStr">
        <is>
          <t>Смеси для систем утепления фасада (клеевые и базовые)</t>
        </is>
      </c>
      <c r="C147" s="7" t="inlineStr">
        <is>
          <t>да</t>
        </is>
      </c>
      <c r="D147" s="7" t="inlineStr">
        <is>
          <t>Основит Каверпликс TC117</t>
        </is>
      </c>
      <c r="E147" s="7" t="inlineStr">
        <is>
          <t>Смесь штукатурно-клеевая зимняя Основит Каверпликс TC117 F 25 кг</t>
        </is>
      </c>
      <c r="F147" s="7" t="n">
        <v>3</v>
      </c>
      <c r="G147" s="7" t="inlineStr">
        <is>
          <t>Штукатурно-клеевая смесь ОСНОВИТ КАВЕРПЛИКС ТС117 F предназначена для монтажа пенополистирольных и минераловатных плит, создания армированного базового штукатурного слоя при низких температурах окружающего воздуха от -10 до +10°C.</t>
        </is>
      </c>
      <c r="H147" s="7" t="inlineStr">
        <is>
          <t>25 кг</t>
        </is>
      </c>
      <c r="I147" s="7" t="inlineStr">
        <is>
          <t>Расход смеси при слое 1 мм
1,3-1,5 кг/м 2</t>
        </is>
      </c>
      <c r="J147" s="7" t="inlineStr">
        <is>
          <t>3-20 мм</t>
        </is>
      </c>
      <c r="K147" s="7" t="inlineStr">
        <is>
          <t>В7,5, B tb 3,2, A ab 4, F100 ГОСТ Р 54359-2017</t>
        </is>
      </c>
      <c r="L147" s="7" t="inlineStr">
        <is>
          <t>есть</t>
        </is>
      </c>
      <c r="M147" s="7" t="inlineStr"/>
      <c r="N147" s="7" t="inlineStr">
        <is>
          <t>https://osnovit.ru/catalog/kleevye-sostavy/shtukaturno-kleevaya-smes-osnovit-kaverpliks-tc117-f/</t>
        </is>
      </c>
      <c r="O147" s="7" t="inlineStr">
        <is>
          <t>Зимняя модификация TC117. Температура нанесения в характеристиках не указана (только в назначении: от -10 до +10°C). Расход воды — «см. на упаковке». Ссылок на PDF во входе нет.</t>
        </is>
      </c>
    </row>
    <row r="148">
      <c r="A148" s="7" t="inlineStr">
        <is>
          <t>Основит</t>
        </is>
      </c>
      <c r="B148" s="7" t="inlineStr">
        <is>
          <t>Смеси для систем утепления фасада (клеевые и базовые)</t>
        </is>
      </c>
      <c r="C148" s="7" t="inlineStr">
        <is>
          <t>да</t>
        </is>
      </c>
      <c r="D148" s="7" t="inlineStr">
        <is>
          <t>Основит Каверпликс TC117 H</t>
        </is>
      </c>
      <c r="E148" s="7" t="inlineStr">
        <is>
          <t>Смесь штукатурно-клеевая высокопрочная Основит Каверпликс TC117 H 25 кг</t>
        </is>
      </c>
      <c r="F148" s="7" t="n">
        <v>1</v>
      </c>
      <c r="G148" s="7" t="inlineStr">
        <is>
          <t>Штукатурно-клеевая смесь Основит Каверпликс ТС117 H высокопрочная предназначена для создание армированного базового штукатурного слоя СФТК в вандалостойкой зоне (1,5 м от уровня цоколя, а также армированного слоя повышенного качества с ударостойкойкостью не менее 8 Дж (особенно для детских образовательных учреждений, объектов социального назначения и т.д.).</t>
        </is>
      </c>
      <c r="H148" s="7" t="inlineStr">
        <is>
          <t>25 кг</t>
        </is>
      </c>
      <c r="I148" s="7" t="inlineStr">
        <is>
          <t>Расход смеси при слое 1 мм, кг/м²
1,3-1,5</t>
        </is>
      </c>
      <c r="J148" s="7" t="inlineStr">
        <is>
          <t>Рекомендуемая толщина клеевого слоя, мм
3-20</t>
        </is>
      </c>
      <c r="K148" s="7" t="inlineStr"/>
      <c r="L148" s="7" t="inlineStr">
        <is>
          <t>—</t>
        </is>
      </c>
      <c r="M148" s="7" t="inlineStr"/>
      <c r="N148" s="7" t="inlineStr">
        <is>
          <t>https://osnovit.ru/catalog/bazovye-shtukaturnye-sostavy/kaverpliks-ts117-h-shtukaturno-kleevaya-smes-osnovit/</t>
        </is>
      </c>
      <c r="O148" s="7" t="inlineStr">
        <is>
          <t xml:space="preserve">Отдельная модель (высокопрочная, ударостойкость ≥8 Дж), не модификация TC117 — свой series_key. Основа (цемент) и ГОСТ в тексте карточки не указаны. В характеристиках опечатка-хвост: «Время корректировки плиты, мин.» = «≥15 2» (в список не взята). В назначении опечатки производителя («создание», «ударостойкойкостью»). layer/consumption — две подряд идущие строки (название с единицами + значение). </t>
        </is>
      </c>
    </row>
    <row r="149">
      <c r="A149" s="7" t="inlineStr">
        <is>
          <t>Perel</t>
        </is>
      </c>
      <c r="B149" s="7" t="inlineStr">
        <is>
          <t>Декоративные штукатурки сухие (минеральные)</t>
        </is>
      </c>
      <c r="C149" s="7" t="inlineStr">
        <is>
          <t>да</t>
        </is>
      </c>
      <c r="D149" s="7" t="inlineStr">
        <is>
          <t>Perel Cemento</t>
        </is>
      </c>
      <c r="E149" s="7" t="inlineStr">
        <is>
          <t>Perel Cemento, шуба 2 мм</t>
        </is>
      </c>
      <c r="F149" s="7" t="n">
        <v>2</v>
      </c>
      <c r="G149" s="7" t="inlineStr">
        <is>
          <t>Специализированная смесь на основе супербелого цемента, мраморных наполнителей и полимерных добавок для создания структурной поверхности при выполнении декоративного отделочного покрытия фасадов зданий и внутренних помещений.</t>
        </is>
      </c>
      <c r="H149" s="7" t="inlineStr">
        <is>
          <t>Бумажные крафт-мешки по 25 кг.</t>
        </is>
      </c>
      <c r="I149" s="7" t="inlineStr">
        <is>
          <t>4,0 - 4,5 кг/м2 при толщине слоя 2 мм.</t>
        </is>
      </c>
      <c r="J149" s="7" t="inlineStr">
        <is>
          <t>Наносится слоем 2 мм</t>
        </is>
      </c>
      <c r="K149" s="7" t="inlineStr"/>
      <c r="L149" s="7" t="inlineStr">
        <is>
          <t>—</t>
        </is>
      </c>
      <c r="M149" s="7" t="inlineStr">
        <is>
          <t>белого цвета</t>
        </is>
      </c>
      <c r="N149" s="7" t="inlineStr">
        <is>
          <t>https://td-perel.ru/catalog/tsementnaya/perel-cemento/</t>
        </is>
      </c>
      <c r="O149" s="7" t="inlineStr">
        <is>
          <t>Блока характеристик нет. Та же серия, что «короед 2 мм» (id perel__catalog__tsementnaya__perel-cemento-koroed-2-mm), текст почти идентичен; здесь опечатка «водопоглащением» и «грунтовкой..». Белая, окрашивается фасадными красками.</t>
        </is>
      </c>
    </row>
    <row r="150">
      <c r="A150" s="7" t="inlineStr">
        <is>
          <t>Основит</t>
        </is>
      </c>
      <c r="B150" s="7" t="inlineStr">
        <is>
          <t>Декоративные штукатурки сухие (минеральные)</t>
        </is>
      </c>
      <c r="C150" s="7" t="inlineStr">
        <is>
          <t>да</t>
        </is>
      </c>
      <c r="D150" s="7" t="inlineStr">
        <is>
          <t>Основит Экстервэлл минеральная короед</t>
        </is>
      </c>
      <c r="E150" s="7" t="inlineStr">
        <is>
          <t>Штукатурка декоративная короед белая Основит Экстервэлл 25 кг</t>
        </is>
      </c>
      <c r="F150" s="7" t="n">
        <v>4</v>
      </c>
      <c r="G150" s="7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H150" s="7" t="inlineStr">
        <is>
          <t>25 кг</t>
        </is>
      </c>
      <c r="I150" s="7" t="inlineStr"/>
      <c r="J150" s="7" t="inlineStr"/>
      <c r="K150" s="7" t="inlineStr">
        <is>
          <t>В5, Btb2,4, Aab3, F75, ГОСТ Р 54358-2017</t>
        </is>
      </c>
      <c r="L150" s="7" t="inlineStr">
        <is>
          <t>—</t>
        </is>
      </c>
      <c r="M150" s="7" t="inlineStr"/>
      <c r="N150" s="7" t="inlineStr">
        <is>
          <t>https://osnovit.ru/catalog/dekorativnye-shtukaturki/shtukaturka-dekorativnaya-osnovit-ekstervell-25-kg-koroed-belaya/</t>
        </is>
      </c>
      <c r="O150" s="7" t="inlineStr">
        <is>
          <t>Минеральная (цементная) декоративная штукатурка, фактура «короед», белая. Слов «сухая смесь» в тексте нет: is_dry_mix=yes выведено из цементной основы, марки по подвижности Пк3 и хранения «в бумажном мешке». Фракция и расход на карточке не указаны (только «Грубое зерно (от 2,0 мм)…»). Ссылок на PDF во входе нет.</t>
        </is>
      </c>
    </row>
    <row r="151">
      <c r="A151" s="7" t="inlineStr">
        <is>
          <t>Основит</t>
        </is>
      </c>
      <c r="B151" s="7" t="inlineStr">
        <is>
          <t>Декоративные штукатурки сухие (минеральные)</t>
        </is>
      </c>
      <c r="C151" s="7" t="inlineStr">
        <is>
          <t>да</t>
        </is>
      </c>
      <c r="D151" s="7" t="inlineStr">
        <is>
          <t>Основит Экстервэлл минеральная моделируемая</t>
        </is>
      </c>
      <c r="E151" s="7" t="inlineStr">
        <is>
          <t>Штукатурка декоративная моделируемая Основит Экстервэлл 25 кг</t>
        </is>
      </c>
      <c r="F151" s="7" t="n">
        <v>1</v>
      </c>
      <c r="G151" s="7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H151" s="7" t="inlineStr">
        <is>
          <t>25 кг</t>
        </is>
      </c>
      <c r="I151" s="7" t="inlineStr"/>
      <c r="J151" s="7" t="inlineStr"/>
      <c r="K151" s="7" t="inlineStr">
        <is>
          <t>В5, Btb2,4, Aab3, F75, ГОСТ Р 54358-2017</t>
        </is>
      </c>
      <c r="L151" s="7" t="inlineStr">
        <is>
          <t>—</t>
        </is>
      </c>
      <c r="M151" s="7" t="inlineStr">
        <is>
          <t>серый, белый, супербелый</t>
        </is>
      </c>
      <c r="N151" s="7" t="inlineStr">
        <is>
          <t>https://osnovit.ru/catalog/dekorativnye-shtukaturki/ekstervell-modeliruemaya/</t>
        </is>
      </c>
      <c r="O151" s="7" t="inlineStr">
        <is>
          <t>Карточка «моделируемой» минеральной штукатурки, но в характеристиках перечислены все минеральные фактуры: «Шуба 1,0; 1,5; 2,0; 2,5; 3,0 мм», «Короед 1,0…3,0 мм», «Моделируемая 0,5; 1,0 мм» (в тексте строки блока «Фактуры и фракции» идут вперемешку; пары собраны по соседним строкам). Цвет базы серый/белый/супербелый, метка «Колеровка». В «Документации» — «Техническая карта Экстервэлл минеральная» (</t>
        </is>
      </c>
    </row>
    <row r="152">
      <c r="A152" s="7" t="inlineStr">
        <is>
          <t>Основит</t>
        </is>
      </c>
      <c r="B152" s="7" t="inlineStr">
        <is>
          <t>Декоративные штукатурки сухие (минеральные)</t>
        </is>
      </c>
      <c r="C152" s="7" t="inlineStr">
        <is>
          <t>да</t>
        </is>
      </c>
      <c r="D152" s="7" t="inlineStr">
        <is>
          <t>Основит Экстервэлл шуба минеральная</t>
        </is>
      </c>
      <c r="E152" s="7" t="inlineStr">
        <is>
          <t>Штукатурка декоративная шуба колерованная Основит Экстервэлл 25 кг</t>
        </is>
      </c>
      <c r="F152" s="7" t="n">
        <v>6</v>
      </c>
      <c r="G152" s="7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H152" s="7" t="inlineStr">
        <is>
          <t>25 кг</t>
        </is>
      </c>
      <c r="I152" s="7" t="inlineStr">
        <is>
          <t>2,9-3,1 кг/м²</t>
        </is>
      </c>
      <c r="J152" s="7" t="inlineStr"/>
      <c r="K152" s="7" t="inlineStr">
        <is>
          <t>ГОСТ Р 53786-2010</t>
        </is>
      </c>
      <c r="L152" s="7" t="inlineStr">
        <is>
          <t>есть</t>
        </is>
      </c>
      <c r="M152" s="7" t="inlineStr"/>
      <c r="N152" s="7" t="inlineStr">
        <is>
          <t>https://osnovit.ru/catalog/dekorativnye-shtukaturki/shtukaturka-dekorativnaya-osnovit-ekstervell-25-kg-shuba-color/</t>
        </is>
      </c>
      <c r="O152" s="7" t="inlineStr">
        <is>
          <t>Минеральная (цементная) декоративная штукатурка; прямой фразы «сухая смесь» на странице нет — вывод о сухой смеси по мешку и марке по подвижности. Расхода и фракции на странице нет. На странице есть пункт «Техническая карта», ссылка в pdfs не попала. На странице плашка «Колеровка».</t>
        </is>
      </c>
    </row>
    <row r="153">
      <c r="A153" s="7" t="inlineStr">
        <is>
          <t>Perel</t>
        </is>
      </c>
      <c r="B153" s="7" t="inlineStr">
        <is>
          <t>Смеси для брусчатки и мощения</t>
        </is>
      </c>
      <c r="C153" s="7" t="inlineStr">
        <is>
          <t>да</t>
        </is>
      </c>
      <c r="D153" s="7" t="inlineStr">
        <is>
          <t>Perel Modisand</t>
        </is>
      </c>
      <c r="E153" s="7" t="inlineStr">
        <is>
          <t>Perel Modisand</t>
        </is>
      </c>
      <c r="F153" s="7" t="n">
        <v>1</v>
      </c>
      <c r="G153" s="7" t="inlineStr">
        <is>
          <t>Специальная смесь фракционированного песка и полимерных добавок применяется для заполнения швов между элементами мощения: вибролитая, вибропрессованная и гиперпрессованная брусчатка, искусственный и натуральный камень.</t>
        </is>
      </c>
      <c r="H153" s="7" t="inlineStr">
        <is>
          <t>Бумажные крафт-мешки - 23 кг.</t>
        </is>
      </c>
      <c r="I153" s="7" t="inlineStr">
        <is>
          <t>Расход модифицированного песка для брусчатки 200*100*50 при шве 3 мм составляет 3 – 4 кг/м2.</t>
        </is>
      </c>
      <c r="J153" s="7" t="inlineStr">
        <is>
          <t>3 - 40 мм</t>
        </is>
      </c>
      <c r="K153" s="7" t="inlineStr"/>
      <c r="L153" s="7" t="inlineStr">
        <is>
          <t>—</t>
        </is>
      </c>
      <c r="M153" s="7" t="inlineStr"/>
      <c r="N153" s="7" t="inlineStr">
        <is>
          <t>https://td-perel.ru/catalog/modifitsirovannyy-pesok/perel-modisand/</t>
        </is>
      </c>
      <c r="O153" s="7" t="inlineStr">
        <is>
          <t>Раздел «Модифицированный песок» (Смеси для брусчатки). Смесь песка с полимерами засыпается в швы сухой и затем увлажняется. layer_or_joint_quote — значение характеристики «Рекомендуемая ширина шва». Нормативов, расхода воды и зимней версии на карточке нет.</t>
        </is>
      </c>
    </row>
    <row r="154">
      <c r="A154" s="7" t="inlineStr">
        <is>
          <t>Perel</t>
        </is>
      </c>
      <c r="B154" s="7" t="inlineStr">
        <is>
          <t>Смеси для брусчатки и мощения</t>
        </is>
      </c>
      <c r="C154" s="7" t="inlineStr">
        <is>
          <t>да</t>
        </is>
      </c>
      <c r="D154" s="7" t="inlineStr">
        <is>
          <t>Perel RodStone Адгезив</t>
        </is>
      </c>
      <c r="E154" s="7" t="inlineStr">
        <is>
          <t>Perel RodStone Адгезив, 25 кг, белый, клей для брусчатки</t>
        </is>
      </c>
      <c r="F154" s="7" t="n">
        <v>2</v>
      </c>
      <c r="G154" s="7" t="inlineStr">
        <is>
          <t>«RodStone – Адгезив» - специализированная смесь - клеевой раствор, на основе высокопрочного цемента, кварцевого песка и европейских полимерных добавок для укладки и фиксации брусчатки и плит из натурального камня (с рельефной изнаночной стороной) на горизонтальные поверхности, для наружных работ.</t>
        </is>
      </c>
      <c r="H154" s="7" t="inlineStr">
        <is>
          <t>Бумажные крафт-мешки: 25 кг.</t>
        </is>
      </c>
      <c r="I154" s="7" t="inlineStr">
        <is>
          <t>1,3-1,4 кг/м 2 при слое 1 мм, в среднем 5-6 кг/м 2 .</t>
        </is>
      </c>
      <c r="J154" s="7" t="inlineStr">
        <is>
          <t>тонким слоем (2÷5мм.)</t>
        </is>
      </c>
      <c r="K154" s="7" t="inlineStr"/>
      <c r="L154" s="7" t="inlineStr">
        <is>
          <t>—</t>
        </is>
      </c>
      <c r="M154" s="7" t="inlineStr"/>
      <c r="N154" s="7" t="inlineStr">
        <is>
          <t>https://td-perel.ru/catalog/rodstone-adgeziv/perel-rodstone-adgeziv-25-kg-belyy-kley-dlya-bruschatki/</t>
        </is>
      </c>
      <c r="O154" s="7" t="inlineStr">
        <is>
          <t>Клей для брусчатки из системы RodStone (paving_mix). «Рекомендуется для лёгких и средних транспортных нагрузок.» В подзаголовке пропущено слово «песка» («кварцевого европейских полимерных добавок»), в описании оно есть. Жизнеспособность «в течение 180 минут». Затирка швов — не ранее чем через 48 ч. В «Документы» — PDF perel-rodstone (3.08 МБ), по названию описание всей системы RodStone, а не техка</t>
        </is>
      </c>
    </row>
    <row r="155">
      <c r="A155" s="7" t="inlineStr">
        <is>
          <t>Perel</t>
        </is>
      </c>
      <c r="B155" s="7" t="inlineStr">
        <is>
          <t>Смеси для брусчатки и мощения</t>
        </is>
      </c>
      <c r="C155" s="7" t="inlineStr">
        <is>
          <t>да</t>
        </is>
      </c>
      <c r="D155" s="7" t="inlineStr">
        <is>
          <t>Perel RodStone Основа</t>
        </is>
      </c>
      <c r="E155" s="7" t="inlineStr">
        <is>
          <t>Perel RodStone Основа, 40 кг, дренажный раствор</t>
        </is>
      </c>
      <c r="F155" s="7" t="n">
        <v>1</v>
      </c>
      <c r="G155" s="7" t="inlineStr">
        <is>
          <t>Дренажный раствор, на основе цемента и фракционированного кварцевого песка для устройства водопроницаемых слоев для укладки брусчатки и плит из искусственного и натурального камня</t>
        </is>
      </c>
      <c r="H155" s="7" t="inlineStr">
        <is>
          <t>Бумажные крафт-мешки 40кг.</t>
        </is>
      </c>
      <c r="I155" s="7" t="inlineStr">
        <is>
          <t>10-15 кг/м2 при слое 10 мм.</t>
        </is>
      </c>
      <c r="J155" s="7" t="inlineStr"/>
      <c r="K155" s="7" t="inlineStr"/>
      <c r="L155" s="7" t="inlineStr">
        <is>
          <t>—</t>
        </is>
      </c>
      <c r="M155" s="7" t="inlineStr"/>
      <c r="N155" s="7" t="inlineStr">
        <is>
          <t>https://td-perel.ru/catalog/rodstone-osnova/perel-rodstone-osnova-40-kg-drenazhnyy-rastvor/</t>
        </is>
      </c>
      <c r="O155" s="7" t="inlineStr">
        <is>
          <t>Расхождение: вода «около 1,8 л на упаковку весом 25 кг», а фасовка 40 кг. Работы только при температуре воздуха и основания от +5 до +30 ºС. Толщина слоя прямо не задана (расход дан при слое 10 мм).</t>
        </is>
      </c>
    </row>
    <row r="156">
      <c r="A156" s="7" t="inlineStr">
        <is>
          <t>Perel</t>
        </is>
      </c>
      <c r="B156" s="7" t="inlineStr">
        <is>
          <t>Смеси для брусчатки и мощения</t>
        </is>
      </c>
      <c r="C156" s="7" t="inlineStr">
        <is>
          <t>да</t>
        </is>
      </c>
      <c r="D156" s="7" t="inlineStr">
        <is>
          <t>Perel RodStone Шов-литой</t>
        </is>
      </c>
      <c r="E156" s="7" t="inlineStr">
        <is>
          <t>Perel RodStone Шов-литой бежевая</t>
        </is>
      </c>
      <c r="F156" s="7" t="n">
        <v>8</v>
      </c>
      <c r="G156" s="7" t="inlineStr">
        <is>
          <t>специализированный двухкомпонентный самоуплотняющийся, водонепроницаемый, безусадочный раствор на основе портландцемента, кварцевых песков и комплекса полимерных добавок для заполнения швов брусчатки и плит из натурального и искусственного камня. Подходит для любых транспортных нагрузок.</t>
        </is>
      </c>
      <c r="H156" s="7" t="inlineStr">
        <is>
          <t>Компонент А: сухая смесь 25 кг - бумажные крафт-мешки.</t>
        </is>
      </c>
      <c r="I156" s="7" t="inlineStr">
        <is>
          <t>В среднем 5-10 кг/м2 при ширине шва 5 мм.</t>
        </is>
      </c>
      <c r="J156" s="7" t="inlineStr"/>
      <c r="K156" s="7" t="inlineStr"/>
      <c r="L156" s="7" t="inlineStr">
        <is>
          <t>—</t>
        </is>
      </c>
      <c r="M156" s="7" t="inlineStr">
        <is>
          <t>бежевый</t>
        </is>
      </c>
      <c r="N156" s="7" t="inlineStr">
        <is>
          <t>https://td-perel.ru/catalog/vodonepronitsaemaya/perel-rodstone-shov-litoy-bejevyi/</t>
        </is>
      </c>
      <c r="O156" s="7" t="inlineStr">
        <is>
          <t>Цветная карточка двухкомпонентной затирки для брусчатки (комплект: сухая смесь 25 кг + жидкий компонент С 1 л). Карточки цветов в пачке идентичны по тексту, отличаются цветом, артикулом и ценой. Температура работ +5…+30 °С. Толщина и глубина шва не указаны (только «при ширине шва 5 мм» в расходе). В заголовке «бежевая», в полном названии и поле «Цвет» — «бежевый».</t>
        </is>
      </c>
    </row>
    <row r="157">
      <c r="A157" s="7" t="inlineStr">
        <is>
          <t>Perel</t>
        </is>
      </c>
      <c r="B157" s="7" t="inlineStr">
        <is>
          <t>Смеси для брусчатки и мощения</t>
        </is>
      </c>
      <c r="C157" s="7" t="inlineStr">
        <is>
          <t>да</t>
        </is>
      </c>
      <c r="D157" s="7" t="inlineStr">
        <is>
          <t>Perel RodStone Шов-фильтр</t>
        </is>
      </c>
      <c r="E157" s="7" t="inlineStr">
        <is>
          <t>Perel RodStone Шов-фильтр белый</t>
        </is>
      </c>
      <c r="F157" s="7" t="n">
        <v>2</v>
      </c>
      <c r="G157" s="7" t="inlineStr">
        <is>
          <t>специализированный двухкомпонентный водопроницаемый раствор на основе полимерцементного вяжущего вещества и фракционированных кварцевых песков для заполнения швов брусчатки и плит из натурального и искусственного камня. Рекомендуется для лёгких и средних транспортных нагрузок.</t>
        </is>
      </c>
      <c r="H157" s="7" t="inlineStr">
        <is>
          <t>Компонент А: сухая смесь 25 кг - бумажные крафт-мешки.</t>
        </is>
      </c>
      <c r="I157" s="7" t="inlineStr">
        <is>
          <t>В среднем 5-10 кг/м2 при ширине шва 5 мм.</t>
        </is>
      </c>
      <c r="J157" s="7" t="inlineStr"/>
      <c r="K157" s="7" t="inlineStr"/>
      <c r="L157" s="7" t="inlineStr">
        <is>
          <t>—</t>
        </is>
      </c>
      <c r="M157" s="7" t="inlineStr">
        <is>
          <t>белый</t>
        </is>
      </c>
      <c r="N157" s="7" t="inlineStr">
        <is>
          <t>https://td-perel.ru/catalog/vodopronitsaemaya/perel-rodstone-shov-filtr-belyi/</t>
        </is>
      </c>
      <c r="O157" s="7" t="inlineStr">
        <is>
          <t>Цветная карточка двухкомпонентной водопроницаемой затирки (сухая смесь 25 кг + жидкий компонент В 1,8 л). Белый и серый идентичны по тексту, отличаются цветом, артикулом и ценой. Температура работ +10…+30 °С (у Шов-литой +5). Опечатка в полном названии «компонет "B"». Здесь компонент В — «пластиковая канистра», на его собственной карточке — «пластиковое ведро».</t>
        </is>
      </c>
    </row>
    <row r="158">
      <c r="A158" s="7" t="inlineStr">
        <is>
          <t>Основит</t>
        </is>
      </c>
      <c r="B158" s="7" t="inlineStr">
        <is>
          <t>Смеси для брусчатки и мощения</t>
        </is>
      </c>
      <c r="C158" s="7" t="inlineStr">
        <is>
          <t>да</t>
        </is>
      </c>
      <c r="D158" s="7" t="inlineStr">
        <is>
          <t>Основит Флайформ AC20 T</t>
        </is>
      </c>
      <c r="E158" s="7" t="inlineStr">
        <is>
          <t>Клей выравнивающий Основит Флайформ AC20 T 25 кг</t>
        </is>
      </c>
      <c r="F158" s="7" t="n">
        <v>1</v>
      </c>
      <c r="G158" s="7" t="inlineStr">
        <is>
          <t>Выравнивающий клей ОСНОВИТ ФЛАЙФОРМ AC20 T предназначен для фиксации брусчатки, камня, тротуарной плитки на бетонные основания.</t>
        </is>
      </c>
      <c r="H158" s="7" t="inlineStr">
        <is>
          <t>Мешок 25кг</t>
        </is>
      </c>
      <c r="I158" s="7" t="inlineStr">
        <is>
          <t>Расход смеси при слое 1мм, кг
1,4</t>
        </is>
      </c>
      <c r="J158" s="7" t="inlineStr">
        <is>
          <t>Рекомендуемая толщина слоя,мм
2-20</t>
        </is>
      </c>
      <c r="K158" s="7" t="inlineStr"/>
      <c r="L158" s="7" t="inlineStr">
        <is>
          <t>—</t>
        </is>
      </c>
      <c r="M158" s="7" t="inlineStr">
        <is>
          <t>серый</t>
        </is>
      </c>
      <c r="N158" s="7" t="inlineStr">
        <is>
          <t>https://osnovit.ru/catalog/kleevye-rastvory/osnovit-flayform-ac20-t-25-kg/</t>
        </is>
      </c>
      <c r="O158" s="7" t="inlineStr">
        <is>
          <t>Клей для брусчатки (категории «Клеевые растворы» и «Смеси для брусчатки»). Нагрузка — пешеходная и средняя (до 3,5 тонн). Указания «для внутренних/наружных работ» нет. ГОСТ не указан. Срок хранения 12/24 мес., вес упаковки 25 кг.</t>
        </is>
      </c>
    </row>
    <row r="159">
      <c r="A159" s="7" t="inlineStr">
        <is>
          <t>Основит</t>
        </is>
      </c>
      <c r="B159" s="7" t="inlineStr">
        <is>
          <t>Смеси для брусчатки и мощения</t>
        </is>
      </c>
      <c r="C159" s="7" t="inlineStr">
        <is>
          <t>да</t>
        </is>
      </c>
      <c r="D159" s="7" t="inlineStr">
        <is>
          <t>Основит Флайформ AC6 Lq</t>
        </is>
      </c>
      <c r="E159" s="7" t="inlineStr">
        <is>
          <t>Клей тонкослойный Основит Флайформ AC6 Lq 25 кг</t>
        </is>
      </c>
      <c r="F159" s="7" t="n">
        <v>1</v>
      </c>
      <c r="G159" s="7" t="inlineStr">
        <is>
          <t>Предназначен для создания адгезиионного слоя между брусчаткой, натуральным камнем и прочими штучными материалами и дренажным подстилающем слоем.</t>
        </is>
      </c>
      <c r="H159" s="7" t="inlineStr">
        <is>
          <t>Мешок 25кг</t>
        </is>
      </c>
      <c r="I159" s="7" t="inlineStr">
        <is>
          <t>Расход смеси на 1 м 2
1,5-2,0 кг</t>
        </is>
      </c>
      <c r="J159" s="7" t="inlineStr">
        <is>
          <t>Рекомендуемая толщина слоя
1-6 мм</t>
        </is>
      </c>
      <c r="K159" s="7" t="inlineStr"/>
      <c r="L159" s="7" t="inlineStr">
        <is>
          <t>—</t>
        </is>
      </c>
      <c r="M159" s="7" t="inlineStr">
        <is>
          <t>серый</t>
        </is>
      </c>
      <c r="N159" s="7" t="inlineStr">
        <is>
          <t>https://osnovit.ru/catalog/kleevye-rastvory/osnovit-flayform-ac6-lq-25-kg/</t>
        </is>
      </c>
      <c r="O159" s="7" t="inlineStr">
        <is>
          <t>Тонкослойный клей системы ФЛАЙФОРМ, основание — дренажный раствор ФЛАЙФОРМ DC100. В тексте назначения опечатки («адгезиионного», «подстилающем»). Указания «для внутренних/наружных работ» нет. Срок хранения 12/24 мес., вес 25 кг.</t>
        </is>
      </c>
    </row>
    <row r="160">
      <c r="A160" s="7" t="inlineStr">
        <is>
          <t>Основит</t>
        </is>
      </c>
      <c r="B160" s="7" t="inlineStr">
        <is>
          <t>Смеси для брусчатки и мощения</t>
        </is>
      </c>
      <c r="C160" s="7" t="inlineStr">
        <is>
          <t>да</t>
        </is>
      </c>
      <c r="D160" s="7" t="inlineStr">
        <is>
          <t>Основит Флайформ DC100</t>
        </is>
      </c>
      <c r="E160" s="7" t="inlineStr">
        <is>
          <t>Раствор дренажный Основит Флайформ DC100 1000 кг</t>
        </is>
      </c>
      <c r="F160" s="7" t="n">
        <v>2</v>
      </c>
      <c r="G160" s="7" t="inlineStr">
        <is>
          <t>Дренажный раствор ОСНОВИТ ФЛАЙФОРМ DC100 предназначен для создания дополнительного несущего водопроницаемого слоя на песчано-гравиевой подушке.</t>
        </is>
      </c>
      <c r="H160" s="7" t="inlineStr">
        <is>
          <t>25 кг</t>
        </is>
      </c>
      <c r="I160" s="7" t="inlineStr">
        <is>
          <t>Расход смеси при слое 10 мм (кг/м2)
20</t>
        </is>
      </c>
      <c r="J160" s="7" t="inlineStr">
        <is>
          <t>Рекомендуемая толщина слоя, мм
30-100</t>
        </is>
      </c>
      <c r="K160" s="7" t="inlineStr"/>
      <c r="L160" s="7" t="inlineStr">
        <is>
          <t>—</t>
        </is>
      </c>
      <c r="M160" s="7" t="inlineStr"/>
      <c r="N160" s="7" t="inlineStr">
        <is>
          <t>https://osnovit.ru/catalog/drenazhnye-rastvory/flayform-dc100-drenazhnyy-rastvor-osnovit-1000kg/</t>
        </is>
      </c>
      <c r="O160" s="7" t="inlineStr">
        <is>
          <t>Карточки 14 (25 кг) и 15 (1000 кг, бигбэг) — один продукт, разная фасовка; характеристики идентичны. Выход раствора указан «л/50 кг» при мешке 25 кг. Нагрузка: пешеходная и средняя (до 3,5 тонн). Документация («Техническая карта Флайформ DC100») — ссылок в pdfs нет.</t>
        </is>
      </c>
    </row>
    <row r="161">
      <c r="A161" s="7" t="inlineStr">
        <is>
          <t>Основит</t>
        </is>
      </c>
      <c r="B161" s="7" t="inlineStr">
        <is>
          <t>Смеси для брусчатки и мощения</t>
        </is>
      </c>
      <c r="C161" s="7" t="inlineStr">
        <is>
          <t>да</t>
        </is>
      </c>
      <c r="D161" s="7" t="inlineStr">
        <is>
          <t>Основит Флайформ MC30</t>
        </is>
      </c>
      <c r="E161" s="7" t="inlineStr">
        <is>
          <t>Раствор для укладки камня с расшивкой шва Основит Флайформ MC30 25 кг</t>
        </is>
      </c>
      <c r="F161" s="7" t="n">
        <v>1</v>
      </c>
      <c r="G161" s="7" t="inlineStr">
        <is>
          <t>Раствор для укладки камня с одновременной расшивкой шва ОСНОВИТ ФЛАЙФОРМ MC30 применяется для укладки натурального и искусственного камня с одновременной расшивкой швов. Рекомендуется для садово-паркового строительства и ландшафтного дизайна.</t>
        </is>
      </c>
      <c r="H161" s="7" t="inlineStr">
        <is>
          <t>Вес упаковки
25 кг</t>
        </is>
      </c>
      <c r="I161" s="7" t="inlineStr">
        <is>
          <t>Расход смеси при слое 10 мм (кг/м2)
16</t>
        </is>
      </c>
      <c r="J161" s="7" t="inlineStr">
        <is>
          <t>Рекомендуемая толщина слоя, мм
10-30</t>
        </is>
      </c>
      <c r="K161" s="7" t="inlineStr"/>
      <c r="L161" s="7" t="inlineStr">
        <is>
          <t>—</t>
        </is>
      </c>
      <c r="M161" s="7" t="inlineStr">
        <is>
          <t>белый</t>
        </is>
      </c>
      <c r="N161" s="7" t="inlineStr">
        <is>
          <t>https://osnovit.ru/catalog/kleevye-rastvory/osnovit-flayform-mc30-25-kg/</t>
        </is>
      </c>
      <c r="O161" s="7" t="inlineStr">
        <is>
          <t>Тип: в каталоге лежит в «Клеевые растворы» и «Смеси для брусчатки» → paving_mix; по сути раствор для укладки камня с расшивкой (можно special_mortar). Многие значения без единиц («30», «0.3», «100», «-50…+60»). Цвет «белый» при метке «Колеровка» — колеруемость не расписана. Ширина шва «5-50 мм». Указания «для внутренних/наружных работ» нет.</t>
        </is>
      </c>
    </row>
    <row r="162">
      <c r="A162" s="7" t="inlineStr">
        <is>
          <t>Основит</t>
        </is>
      </c>
      <c r="B162" s="7" t="inlineStr">
        <is>
          <t>Смеси для брусчатки и мощения</t>
        </is>
      </c>
      <c r="C162" s="7" t="inlineStr">
        <is>
          <t>да</t>
        </is>
      </c>
      <c r="D162" s="7" t="inlineStr">
        <is>
          <t>Основит Флайформ MC80 WP</t>
        </is>
      </c>
      <c r="E162" s="7" t="inlineStr">
        <is>
          <t>Раствор монтажный подстилающий водонепроницаемый Основит Флайформ MC80 WP 25 кг</t>
        </is>
      </c>
      <c r="F162" s="7" t="n">
        <v>1</v>
      </c>
      <c r="G162" s="7" t="inlineStr">
        <is>
          <t>Подстилающий раствор ОСНОВИТ ФЛАЙФОРМ МC80 Wp предназначен для создания дополнительного несущего водонепроницаемого слоя на песчано-гравийной или бетонной подушке, бетонирования дорожек, ступеней, террас и отдельных площадок.</t>
        </is>
      </c>
      <c r="H162" s="7" t="inlineStr">
        <is>
          <t>25 кг</t>
        </is>
      </c>
      <c r="I162" s="7" t="inlineStr">
        <is>
          <t>Расход смеси на 1 м² слоя 10 мм
22 кг</t>
        </is>
      </c>
      <c r="J162" s="7" t="inlineStr">
        <is>
          <t>Рекомендуемая толщина слоя, мм
20-80</t>
        </is>
      </c>
      <c r="K162" s="7" t="inlineStr">
        <is>
          <t>Водонепроницаемость W8</t>
        </is>
      </c>
      <c r="L162" s="7" t="inlineStr">
        <is>
          <t>—</t>
        </is>
      </c>
      <c r="M162" s="7" t="inlineStr"/>
      <c r="N162" s="7" t="inlineStr">
        <is>
          <t>https://osnovit.ru/catalog/drenazhnye-rastvory/flayform-mc-80-wp/</t>
        </is>
      </c>
      <c r="O162" s="7" t="inlineStr">
        <is>
          <t>Лежит в разделе «дренажные растворы», но сам раствор водонепроницаемый (W8), не дренажный; title страницы при этом «Дренажный раствор…». В приготовлении раствора «на 1 мешок 30 кг», а вес упаковки 25 кг. Код в тексте набран «МC80 Wp» (кириллическая М). Ссылки на техкарту в pdfs нет.</t>
        </is>
      </c>
    </row>
    <row r="163">
      <c r="A163" s="7" t="inlineStr">
        <is>
          <t>Основит</t>
        </is>
      </c>
      <c r="B163" s="7" t="inlineStr">
        <is>
          <t>Смеси для брусчатки и мощения</t>
        </is>
      </c>
      <c r="C163" s="7" t="inlineStr">
        <is>
          <t>да</t>
        </is>
      </c>
      <c r="D163" s="7" t="inlineStr">
        <is>
          <t>Основит Флайформ XC50 WP</t>
        </is>
      </c>
      <c r="E163" s="7" t="inlineStr">
        <is>
          <t>Раствор для заполнения швов водонепроницаемый Основит Флайформ XC50 WP 25 кг</t>
        </is>
      </c>
      <c r="F163" s="7" t="n">
        <v>1</v>
      </c>
      <c r="G163" s="7" t="inlineStr">
        <is>
          <t>предназначен для расшивки швов штучных материалов, таких как гранитная или клинкерная брусчатка, натуральный камень с целью защиты основания от доступа влаги и придания поверхности декоративных свойств.</t>
        </is>
      </c>
      <c r="H163" s="7" t="inlineStr">
        <is>
          <t>Мешок 25кг</t>
        </is>
      </c>
      <c r="I163" s="7" t="inlineStr"/>
      <c r="J163" s="7" t="inlineStr">
        <is>
          <t>5-50</t>
        </is>
      </c>
      <c r="K163" s="7" t="inlineStr"/>
      <c r="L163" s="7" t="inlineStr">
        <is>
          <t>—</t>
        </is>
      </c>
      <c r="M163" s="7" t="inlineStr"/>
      <c r="N163" s="7" t="inlineStr">
        <is>
          <t>https://osnovit.ru/catalog/zapolnenie-shvov/osnovit-flayform-xc50-wp-25-kg/</t>
        </is>
      </c>
      <c r="O163" s="7" t="inlineStr">
        <is>
          <t>Раствор для заполнения швов мощения (брусчатка, клинкер, камень) — paving_mix. Расход на странице не указан. Есть подпись «Цвета раствора:» и бейдж «Колеровка», но перечня цветов в тексте нет (вероятно, картинками); в характеристиках «Цвет — серый». Толщина шва «5-50» мм (единица в названии строки). Нагрузка до 3,5 тонн. Основа (цемент и т.п.) не названа. Раздел производителя — «Смеси для брусчатк</t>
        </is>
      </c>
    </row>
    <row r="164">
      <c r="A164" s="7" t="inlineStr">
        <is>
          <t>Основит</t>
        </is>
      </c>
      <c r="B164" s="7" t="inlineStr">
        <is>
          <t>Смеси для печей и каминов</t>
        </is>
      </c>
      <c r="C164" s="7" t="inlineStr">
        <is>
          <t>да</t>
        </is>
      </c>
      <c r="D164" s="7" t="inlineStr">
        <is>
          <t>Основит Печформ AC150</t>
        </is>
      </c>
      <c r="E164" s="7" t="inlineStr">
        <is>
          <t>Клей термостойкий Основит Печформ AC150</t>
        </is>
      </c>
      <c r="F164" s="7" t="n">
        <v>1</v>
      </c>
      <c r="G164" s="7" t="inlineStr">
        <is>
          <t>Термостойкий беспылевой клей ПЕЧФОРМ AC150 предназначен для облицовки печей и каминов. Рекомендован для керамической, клинкерной, шамотной, метхлахской плитки, изразцов, натурального и искусственного камня.</t>
        </is>
      </c>
      <c r="H164" s="7" t="inlineStr">
        <is>
          <t>Вес упаковки
5 кг, 25 кг</t>
        </is>
      </c>
      <c r="I164" s="7" t="inlineStr"/>
      <c r="J164" s="7" t="inlineStr">
        <is>
          <t>Рекомендуемая толщина слоя (в зависимости от типа основания и размера плитки) – 2-6 мм</t>
        </is>
      </c>
      <c r="K164" s="7" t="inlineStr"/>
      <c r="L164" s="7" t="inlineStr">
        <is>
          <t>—</t>
        </is>
      </c>
      <c r="M164" s="7" t="inlineStr"/>
      <c r="N164" s="7" t="inlineStr">
        <is>
          <t>https://osnovit.ru/catalog/smesi-dlya-pechey-i-kaminov/pechform-ac150/</t>
        </is>
      </c>
      <c r="O164" s="7" t="inlineStr">
        <is>
          <t>Расход дан только таблицей по длине стороны плитки (1,8–6 кг/м² при слое 1,5–5 мм), одной строкой не цитируется. Внутренние расхождения: вода в тексте 0,20–0,24 л, в характеристиках 0,22-0,24; температура работ в тексте +5…+30, в характеристиках +5…+35⁰С. Срок годности: 18 мес. в бумажном, 36 мес. в пластиковом мешке. Фасовки 5 и 25 кг на одной карточке. Техкарта упомянута, но в pdfs ссылок нет.</t>
        </is>
      </c>
    </row>
    <row r="165">
      <c r="A165" s="7" t="inlineStr">
        <is>
          <t>Основит</t>
        </is>
      </c>
      <c r="B165" s="7" t="inlineStr">
        <is>
          <t>Смеси для печей и каминов</t>
        </is>
      </c>
      <c r="C165" s="7" t="inlineStr">
        <is>
          <t>да</t>
        </is>
      </c>
      <c r="D165" s="7" t="inlineStr">
        <is>
          <t>Основит Печформ AC400R</t>
        </is>
      </c>
      <c r="E165" s="7" t="inlineStr">
        <is>
          <t>Клей термостойкий экспресс Основит Печформ AC400R 5 кг</t>
        </is>
      </c>
      <c r="F165" s="7" t="n">
        <v>1</v>
      </c>
      <c r="G165" s="7" t="inlineStr">
        <is>
          <t>Термостойкий беспылевой клей ЭКСПРЕСС ПЕЧФОРМ AC400 R предназначен для ускоренной облицовки печей и каминов. Рекомендован для приклеивания отдельных декоративных элементов из керамической, клинкерной, шамотной, метхлахской плитки, изразцов, натурального и искусственного камня.</t>
        </is>
      </c>
      <c r="H165" s="7" t="inlineStr">
        <is>
          <t>на 1 мешок 5 кг</t>
        </is>
      </c>
      <c r="I165" s="7" t="inlineStr">
        <is>
          <t>Расход смеси, на 1 кв.м при слое 2 мм
2,5 кг</t>
        </is>
      </c>
      <c r="J165" s="7" t="inlineStr">
        <is>
          <t>Рекомендуемая толщина слоя (в зависимости от типа основания и размера плитки) 1-6 мм</t>
        </is>
      </c>
      <c r="K165" s="7" t="inlineStr"/>
      <c r="L165" s="7" t="inlineStr">
        <is>
          <t>—</t>
        </is>
      </c>
      <c r="M165" s="7" t="inlineStr"/>
      <c r="N165" s="7" t="inlineStr">
        <is>
          <t>https://osnovit.ru/catalog/smesi-dlya-pechey-i-kaminov/pechform-ac400r/</t>
        </is>
      </c>
      <c r="O165" s="7" t="inlineStr">
        <is>
          <t>В названии «AC400R», в тексте «AC400 R». Экспресс-версия: жизнеспособность 30 минут, корректировка 1-2 минуты. Температура работ в тексте +5…+30ºС, в характеристиках +5…+35⁰С. Техкарта упомянута, в pdfs ссылок нет.</t>
        </is>
      </c>
    </row>
    <row r="166">
      <c r="A166" s="7" t="inlineStr">
        <is>
          <t>Основит</t>
        </is>
      </c>
      <c r="B166" s="7" t="inlineStr">
        <is>
          <t>Смеси для печей и каминов</t>
        </is>
      </c>
      <c r="C166" s="7" t="inlineStr">
        <is>
          <t>да</t>
        </is>
      </c>
      <c r="D166" s="7" t="inlineStr">
        <is>
          <t>Основит Печформ MF1300</t>
        </is>
      </c>
      <c r="E166" s="7" t="inlineStr">
        <is>
          <t>Смесь огнеупорная керамическая Основит Печформ MF1300 20 кг</t>
        </is>
      </c>
      <c r="F166" s="7" t="n">
        <v>1</v>
      </c>
      <c r="G166" s="7" t="inlineStr">
        <is>
          <t>предназначена для фиксации шамотного кирпича и шамотных плит при создании топок бытовых дровяных печей и каминов.</t>
        </is>
      </c>
      <c r="H166" s="7" t="inlineStr">
        <is>
          <t>20 кг</t>
        </is>
      </c>
      <c r="I166" s="7" t="inlineStr">
        <is>
          <t>65 кирпичей</t>
        </is>
      </c>
      <c r="J166" s="7" t="inlineStr">
        <is>
          <t>выполнять кладку с толщиной примерно в 1-2 мм</t>
        </is>
      </c>
      <c r="K166" s="7" t="inlineStr"/>
      <c r="L166" s="7" t="inlineStr">
        <is>
          <t>—</t>
        </is>
      </c>
      <c r="M166" s="7" t="inlineStr"/>
      <c r="N166" s="7" t="inlineStr">
        <is>
          <t>https://osnovit.ru/catalog/smesi-dlya-pechey-i-kaminov/pechform-mf1300/</t>
        </is>
      </c>
      <c r="O166" s="7" t="inlineStr">
        <is>
          <t>Огнеупорная до 1300°С, тонкослойная; высолов не образует. Расход: 65 кирпичей на мешок 20 кг при слое 1 мм. В тексте шов «примерно в 1-2 мм», в характеристиках толщина нанесения 1-3 мм. В коде на странице первая буква кириллическая (МF1300).</t>
        </is>
      </c>
    </row>
    <row r="167">
      <c r="A167" s="7" t="inlineStr">
        <is>
          <t>Основит</t>
        </is>
      </c>
      <c r="B167" s="7" t="inlineStr">
        <is>
          <t>Смеси для печей и каминов</t>
        </is>
      </c>
      <c r="C167" s="7" t="inlineStr">
        <is>
          <t>да</t>
        </is>
      </c>
      <c r="D167" s="7" t="inlineStr">
        <is>
          <t>Основит Печформ MF800</t>
        </is>
      </c>
      <c r="E167" s="7" t="inlineStr">
        <is>
          <t>Смесь печная Основит Печформ MF800 25 кг</t>
        </is>
      </c>
      <c r="F167" s="7" t="n">
        <v>1</v>
      </c>
      <c r="G167" s="7" t="inlineStr">
        <is>
          <t>предназначена для создания внешнего контура печи, камина, дымоходов из керамического кирпича внутри помещений.</t>
        </is>
      </c>
      <c r="H167" s="7" t="inlineStr">
        <is>
          <t>25 кг</t>
        </is>
      </c>
      <c r="I167" s="7" t="inlineStr">
        <is>
          <t>70 кирпичей</t>
        </is>
      </c>
      <c r="J167" s="7" t="inlineStr">
        <is>
          <t>выполнять кладку с толщиной шва около 5 мм</t>
        </is>
      </c>
      <c r="K167" s="7" t="inlineStr"/>
      <c r="L167" s="7" t="inlineStr">
        <is>
          <t>—</t>
        </is>
      </c>
      <c r="M167" s="7" t="inlineStr"/>
      <c r="N167" s="7" t="inlineStr">
        <is>
          <t>https://osnovit.ru/catalog/smesi-dlya-pechey-i-kaminov/pechform-mf800/</t>
        </is>
      </c>
      <c r="O167" s="7" t="inlineStr">
        <is>
          <t>Жаростойкая до 800°С. Расход: 70 кирпичей на мешок 25 кг при слое 5 мм. «Холодную» часть дымохода, барбекю и мангалов рекомендует класть растворами БРИКФОРМ. Цвет «Природно-белый».</t>
        </is>
      </c>
    </row>
    <row r="168">
      <c r="A168" s="7" t="inlineStr">
        <is>
          <t>Основит</t>
        </is>
      </c>
      <c r="B168" s="7" t="inlineStr">
        <is>
          <t>Смеси для печей и каминов</t>
        </is>
      </c>
      <c r="C168" s="7" t="inlineStr">
        <is>
          <t>да</t>
        </is>
      </c>
      <c r="D168" s="7" t="inlineStr">
        <is>
          <t>Основит Печформ MSi1300</t>
        </is>
      </c>
      <c r="E168" s="7" t="inlineStr">
        <is>
          <t>Смесь огнеупорная силикатная Основит Печформ MSi1300 20 кг</t>
        </is>
      </c>
      <c r="F168" s="7" t="n">
        <v>1</v>
      </c>
      <c r="G168" s="7" t="inlineStr">
        <is>
          <t>предназначена для фиксации шамотного кирпича и шамотных плит при создании топок бытовых дровяных печей и каминов.</t>
        </is>
      </c>
      <c r="H168" s="7" t="inlineStr">
        <is>
          <t>20 кг</t>
        </is>
      </c>
      <c r="I168" s="7" t="inlineStr">
        <is>
          <t>65 кирпичей</t>
        </is>
      </c>
      <c r="J168" s="7" t="inlineStr">
        <is>
          <t>выполнять кладку с толщиной примерно в 1-2 мм</t>
        </is>
      </c>
      <c r="K168" s="7" t="inlineStr"/>
      <c r="L168" s="7" t="inlineStr">
        <is>
          <t>—</t>
        </is>
      </c>
      <c r="M168" s="7" t="inlineStr"/>
      <c r="N168" s="7" t="inlineStr">
        <is>
          <t>https://osnovit.ru/catalog/smesi-dlya-pechey-i-kaminov/pechform-msi1300/</t>
        </is>
      </c>
      <c r="O168" s="7" t="inlineStr">
        <is>
          <t>Огнеупорная до 1300°С, бежевый цвет, схватывается при нагреве до 100°С; «После обжига подходит для эксплуатации снаружи». В первую неделю возможны высолы (исчезают после первой топки). Толщина в тексте 1-2 мм, в характеристиках 1-3 мм.</t>
        </is>
      </c>
    </row>
    <row r="169">
      <c r="A169" s="7" t="inlineStr">
        <is>
          <t>Основит</t>
        </is>
      </c>
      <c r="B169" s="7" t="inlineStr">
        <is>
          <t>Смеси для печей и каминов</t>
        </is>
      </c>
      <c r="C169" s="7" t="inlineStr">
        <is>
          <t>да</t>
        </is>
      </c>
      <c r="D169" s="7" t="inlineStr">
        <is>
          <t>Основит Печформ PC400 W</t>
        </is>
      </c>
      <c r="E169" s="7" t="inlineStr">
        <is>
          <t>Штукатурка термостойкая белая Основит Печформ PC400 W 20 кг</t>
        </is>
      </c>
      <c r="F169" s="7" t="n">
        <v>1</v>
      </c>
      <c r="G169" s="7" t="inlineStr">
        <is>
          <t>Термостойкая штукатурка ПЕЧФОРМ PC400 W предназначена для декоративной отделки печей и каминов.</t>
        </is>
      </c>
      <c r="H169" s="7" t="inlineStr">
        <is>
          <t>на 1 мешок 20 кг</t>
        </is>
      </c>
      <c r="I169" s="7" t="inlineStr">
        <is>
          <t>Расход смеси, при толщине слоя 10 мм
12-13 кг/кв.метр</t>
        </is>
      </c>
      <c r="J169" s="7" t="inlineStr">
        <is>
          <t>Рекомендуемая толщина в 1 слой нанесения
2-15 мм</t>
        </is>
      </c>
      <c r="K169" s="7" t="inlineStr"/>
      <c r="L169" s="7" t="inlineStr">
        <is>
          <t>—</t>
        </is>
      </c>
      <c r="M169" s="7" t="inlineStr">
        <is>
          <t>Белый цвет</t>
        </is>
      </c>
      <c r="N169" s="7" t="inlineStr">
        <is>
          <t>https://osnovit.ru/catalog/smesi-dlya-pechey-i-kaminov/pechform-pc400-w/</t>
        </is>
      </c>
      <c r="O169" s="7" t="inlineStr">
        <is>
          <t>Тип: термостойкая декоративная штукатурка для печей, отнесена к stove_mix (альтернатива — decorative_plaster_dry). Срок годности 18 мес. в бумажном, 36 мес. в пластиковом мешке. Техкарта упомянута, в pdfs ссылок нет.</t>
        </is>
      </c>
    </row>
    <row r="170">
      <c r="A170" s="7" t="inlineStr">
        <is>
          <t>Основит</t>
        </is>
      </c>
      <c r="B170" s="7" t="inlineStr">
        <is>
          <t>Ремонт бетона и спецрастворы</t>
        </is>
      </c>
      <c r="C170" s="7" t="inlineStr">
        <is>
          <t>да</t>
        </is>
      </c>
      <c r="D170" s="7" t="inlineStr">
        <is>
          <t>Основит Хардскрин RC20</t>
        </is>
      </c>
      <c r="E170" s="7" t="inlineStr">
        <is>
          <t>Состав ремонтный Основит Хардскрин RC20</t>
        </is>
      </c>
      <c r="F170" s="7" t="n">
        <v>1</v>
      </c>
      <c r="G170" s="7" t="inlineStr">
        <is>
          <t>Ремонтный состав ХАРДСКРИН RC20 предназначен для восстановления геометрии конструкций из кирпича и бетона, цементных стяжек и штукатурок: устранения выбоин, трещин, сколов (неконструкционный ремонт).</t>
        </is>
      </c>
      <c r="H170" s="7" t="inlineStr">
        <is>
          <t>25 кг / 5 кг</t>
        </is>
      </c>
      <c r="I170" s="7" t="inlineStr">
        <is>
          <t>1,5 кг/м²</t>
        </is>
      </c>
      <c r="J170" s="7" t="inlineStr">
        <is>
          <t>5(3) - 40 мм</t>
        </is>
      </c>
      <c r="K170" s="7" t="inlineStr"/>
      <c r="L170" s="7" t="inlineStr">
        <is>
          <t>—</t>
        </is>
      </c>
      <c r="M170" s="7" t="inlineStr">
        <is>
          <t>серый</t>
        </is>
      </c>
      <c r="N170" s="7" t="inlineStr">
        <is>
          <t>https://osnovit.ru/catalog/remont-i-zashchita-betona/remontnyy-sostav-osnovit-khardskrin-rc20/</t>
        </is>
      </c>
      <c r="O170" s="7" t="inlineStr">
        <is>
          <t>Сухость — по «Расход воды 0,15 – 0,16 л/кг»; фасовки 25 и 5 кг (в названии вес не указан). Документы «Описание», «Техническая карта Хардскрин RC20» — без ссылок во входе.</t>
        </is>
      </c>
    </row>
    <row r="171">
      <c r="A171" s="7" t="inlineStr">
        <is>
          <t>Основит</t>
        </is>
      </c>
      <c r="B171" s="7" t="inlineStr">
        <is>
          <t>Ремонт бетона и спецрастворы</t>
        </is>
      </c>
      <c r="C171" s="7" t="inlineStr">
        <is>
          <t>да</t>
        </is>
      </c>
      <c r="D171" s="7" t="inlineStr">
        <is>
          <t>Основит Хардскрин RG10 R</t>
        </is>
      </c>
      <c r="E171" s="7" t="inlineStr">
        <is>
          <t>Гипс быстротвердеющий Основит Хардскрин RG10 R 5 кг</t>
        </is>
      </c>
      <c r="F171" s="7" t="n">
        <v>1</v>
      </c>
      <c r="G171" s="7" t="inlineStr">
        <is>
          <t>Быстротвердеющий строительный гипс ОСНОВИТ предназначен для быстрой фиксации электрических розеток, крепления электропроводки, штукатурных маячков.</t>
        </is>
      </c>
      <c r="H171" s="7" t="inlineStr">
        <is>
          <t>5 кг</t>
        </is>
      </c>
      <c r="I171" s="7" t="inlineStr"/>
      <c r="J171" s="7" t="inlineStr">
        <is>
          <t>от 3 до 50 мм</t>
        </is>
      </c>
      <c r="K171" s="7" t="inlineStr"/>
      <c r="L171" s="7" t="inlineStr">
        <is>
          <t>—</t>
        </is>
      </c>
      <c r="M171" s="7" t="inlineStr">
        <is>
          <t>Белый</t>
        </is>
      </c>
      <c r="N171" s="7" t="inlineStr">
        <is>
          <t>https://osnovit.ru/catalog/remont-i-zashchita-betona/khardskrin-rg10-r-bystrotverdeyushchiy-gips-osnovit/</t>
        </is>
      </c>
      <c r="O171" s="7" t="inlineStr">
        <is>
          <t>Тип спорный: монтажный быстротвердеющий гипс (special_mortar); в каталоге лежит в разделе «Ремонтный состав» (concrete_repair), часть назначения — монтаж ГКЛ-перегородок (gypsum_mounting_adhesive). Сухость — по «Расход воды 0,6-0,7 л на 1 кг», слов «сухая смесь» нет. Расход и «внутр./наруж.» не указаны (температура эксплуатации +5…+40 °С).</t>
        </is>
      </c>
    </row>
    <row r="172">
      <c r="A172" s="7" t="inlineStr">
        <is>
          <t>Основит</t>
        </is>
      </c>
      <c r="B172" s="7" t="inlineStr">
        <is>
          <t>Краска сухая (цементно-известковая)</t>
        </is>
      </c>
      <c r="C172" s="7" t="inlineStr">
        <is>
          <t>да</t>
        </is>
      </c>
      <c r="D172" s="7" t="inlineStr">
        <is>
          <t>Основит Унивита CC90</t>
        </is>
      </c>
      <c r="E172" s="7" t="inlineStr">
        <is>
          <t>Краска цементно-известковая Основит Унивита CC90 20 кг</t>
        </is>
      </c>
      <c r="F172" s="7" t="n">
        <v>1</v>
      </c>
      <c r="G172" s="7" t="inlineStr">
        <is>
          <t>предназначена для окрашивания фасадов, стен и потолков в жилых, административных, коммерческих и производственных зданиях. Рекомендуется для складских, вспомогательных (бытовки, парковки и пр.) и прочих специализированных помещений.</t>
        </is>
      </c>
      <c r="H172" s="7" t="inlineStr">
        <is>
          <t>20 кг</t>
        </is>
      </c>
      <c r="I172" s="7" t="inlineStr">
        <is>
          <t>0.3 - 0.6 кг/м 2</t>
        </is>
      </c>
      <c r="J172" s="7" t="inlineStr"/>
      <c r="K172" s="7" t="inlineStr"/>
      <c r="L172" s="7" t="inlineStr">
        <is>
          <t>—</t>
        </is>
      </c>
      <c r="M172" s="7" t="inlineStr"/>
      <c r="N172" s="7" t="inlineStr">
        <is>
          <t>https://osnovit.ru/catalog/kraski/univita-ss90/</t>
        </is>
      </c>
      <c r="O172" s="7" t="inlineStr">
        <is>
          <t>Сухая минеральная краска: прямо «сухая смесь» не написано, вывод из «Расход воды 0.56 - 0.61 л/кг», «Расход смеси» и веса 20 кг. Тип paint, хотя по форме это сухая смесь — пограничный случай для сайта сухих смесей. Код в названии латиницей «CC90», в тексте применения кириллицей «СС90». Наружные/внутренние работы прямо не названы (фасады, стены и потолки).</t>
        </is>
      </c>
    </row>
    <row r="173">
      <c r="A173" s="7" t="inlineStr">
        <is>
          <t>Основит</t>
        </is>
      </c>
      <c r="B173" s="7" t="inlineStr">
        <is>
          <t>Ремонт бетона и спецрастворы</t>
        </is>
      </c>
      <c r="C173" s="7" t="inlineStr">
        <is>
          <t>неясно</t>
        </is>
      </c>
      <c r="D173" s="7" t="inlineStr">
        <is>
          <t>Основит Хардскрин RC10 R</t>
        </is>
      </c>
      <c r="E173" s="7" t="inlineStr">
        <is>
          <t>Состав монтажный и ремонтный быстрый Основит Хардскрин RC10 R 2 кг</t>
        </is>
      </c>
      <c r="F173" s="7" t="n">
        <v>1</v>
      </c>
      <c r="G173" s="7" t="inlineStr">
        <is>
          <t>Монтажный и ремонтный состав ОСНОВИТ предназначен для быстрой анкеровки стальных и полимерных элементов, срочного ремонта и герметизации трещин и сколов, заполнения дефектов (трещин и выбоин) при срочных ремонтных работах.</t>
        </is>
      </c>
      <c r="H173" s="7" t="inlineStr">
        <is>
          <t>2 кг</t>
        </is>
      </c>
      <c r="I173" s="7" t="inlineStr">
        <is>
          <t>1,5кг/дм 3</t>
        </is>
      </c>
      <c r="J173" s="7" t="inlineStr"/>
      <c r="K173" s="7" t="inlineStr"/>
      <c r="L173" s="7" t="inlineStr">
        <is>
          <t>—</t>
        </is>
      </c>
      <c r="M173" s="7" t="inlineStr"/>
      <c r="N173" s="7" t="inlineStr">
        <is>
          <t>https://osnovit.ru/catalog/remont-i-zashchita-betona/khardskrin-rc10-r-bystryy-montazhnyy-i-remontnyy-sostav-osnovit/</t>
        </is>
      </c>
      <c r="O173" s="7" t="inlineStr">
        <is>
          <t>На странице нет ни «сухая смесь», ни расхода воды — сухость не подтверждена текстом (вероятно сухой быстротвердеющий цементный состав, но это догадка). Тип спорный: concrete_repair (раздел «Ремонтный состав») или special_mortar (анкеровочный/монтажный). Марки &gt;W8 и F200 — в характеристиках.</t>
        </is>
      </c>
    </row>
    <row r="174">
      <c r="A174" s="7" t="inlineStr">
        <is>
          <t>Основит</t>
        </is>
      </c>
      <c r="B174" s="7" t="inlineStr">
        <is>
          <t>Сопутствующие, не сухие: Бытовые средства ухода и очистки</t>
        </is>
      </c>
      <c r="C174" s="7" t="inlineStr">
        <is>
          <t>нет</t>
        </is>
      </c>
      <c r="D174" s="7" t="inlineStr">
        <is>
          <t>Основит Плитсэйв SE1</t>
        </is>
      </c>
      <c r="E174" s="7" t="inlineStr">
        <is>
          <t>Очиститель эпоксидных остатков Основит Плитсэйв SЕ1 500 мл</t>
        </is>
      </c>
      <c r="F174" s="7" t="n">
        <v>1</v>
      </c>
      <c r="G174" s="7" t="inlineStr">
        <is>
          <t>Очиститель ОСНОВИТ ПЛИТСЭЙВ SЕ1 предназначен для эффективного очищения и удаления остатков, пятен и разводов эпоксидной затирки с облицованной поверхности без ее повреждения.</t>
        </is>
      </c>
      <c r="H174" s="7" t="inlineStr">
        <is>
          <t>500 мл</t>
        </is>
      </c>
      <c r="I174" s="7" t="inlineStr">
        <is>
          <t>от 75 мл/м²</t>
        </is>
      </c>
      <c r="J174" s="7" t="inlineStr"/>
      <c r="K174" s="7" t="inlineStr"/>
      <c r="L174" s="7" t="inlineStr">
        <is>
          <t>—</t>
        </is>
      </c>
      <c r="M174" s="7" t="inlineStr"/>
      <c r="N174" s="7" t="inlineStr">
        <is>
          <t>https://osnovit.ru/catalog/epoksidnye-zatirki-i-materialy-dlya-ochistki-/ochistitel-epoksidnykh-ostatkov-osnovit-plitseyv-se1-/</t>
        </is>
      </c>
      <c r="O174" s="7" t="inlineStr">
        <is>
          <t>Жидкий очиститель. Код «SЕ1» набран смешанно (латинская S + кириллическая Е). Документация («Хранение и транспортировка Плитсэйв SE1», «Техническая карта») — ссылок в pdfs нет.</t>
        </is>
      </c>
    </row>
    <row r="175">
      <c r="A175" s="7" t="inlineStr">
        <is>
          <t>Основит</t>
        </is>
      </c>
      <c r="B175" s="7" t="inlineStr">
        <is>
          <t>Сопутствующие, не сухие: Бытовые средства ухода и очистки</t>
        </is>
      </c>
      <c r="C175" s="7" t="inlineStr">
        <is>
          <t>нет</t>
        </is>
      </c>
      <c r="D175" s="7" t="inlineStr">
        <is>
          <t>Основит Плитсэйв SE1 P</t>
        </is>
      </c>
      <c r="E175" s="7" t="inlineStr">
        <is>
          <t>Очиститель эпоксидных остатков концентрированный Основит Плитсэйв SЕ1 Р 500 мл</t>
        </is>
      </c>
      <c r="F175" s="7" t="n">
        <v>1</v>
      </c>
      <c r="G175" s="7" t="inlineStr">
        <is>
          <t>Очиститель ОСНОВИТ ПЛИТСЭЙВ SЕ1 P предназначен для эффективного очищения и удаления остатков, пятен и разводов эпоксидной затирки с облицованной поверхности без ее повреждения.</t>
        </is>
      </c>
      <c r="H175" s="7" t="inlineStr">
        <is>
          <t>500 мл</t>
        </is>
      </c>
      <c r="I175" s="7" t="inlineStr">
        <is>
          <t>от 75 мл/м²</t>
        </is>
      </c>
      <c r="J175" s="7" t="inlineStr"/>
      <c r="K175" s="7" t="inlineStr"/>
      <c r="L175" s="7" t="inlineStr">
        <is>
          <t>—</t>
        </is>
      </c>
      <c r="M175" s="7" t="inlineStr"/>
      <c r="N175" s="7" t="inlineStr">
        <is>
          <t>https://osnovit.ru/catalog/epoksidnye-zatirki-i-materialy-dlya-ochistki-/kontsentrirovannyy-ochistitel-epoksidnykh-ostatkov-osnovit-plitseyv-se1-r-/</t>
        </is>
      </c>
      <c r="O175" s="7" t="inlineStr">
        <is>
          <t>Концентрат, разводится водой 1:5 … 1:1 в зависимости от времени после затирки (12–24 ч — неразведённым). Отдельный продукт от SЕ1 (карточка 26). В коде «SЕ1 Р» буквы Е и Р кириллические. Ссылки на техкарту в pdfs нет.</t>
        </is>
      </c>
    </row>
    <row r="176">
      <c r="A176" s="7" t="inlineStr">
        <is>
          <t>Основит</t>
        </is>
      </c>
      <c r="B176" s="7" t="inlineStr">
        <is>
          <t>Сопутствующие, не сухие: Бытовые средства ухода и очистки</t>
        </is>
      </c>
      <c r="C176" s="7" t="inlineStr">
        <is>
          <t>нет</t>
        </is>
      </c>
      <c r="D176" s="7" t="inlineStr">
        <is>
          <t>Основит Плитсэйв губка для эпоксидных остатков</t>
        </is>
      </c>
      <c r="E176" s="7" t="inlineStr">
        <is>
          <t>Губка для очистки эпоксидных остатков Основит Плитсэйв</t>
        </is>
      </c>
      <c r="F176" s="7" t="n">
        <v>1</v>
      </c>
      <c r="G176" s="7" t="inlineStr">
        <is>
          <t>Губка ОСНОВИТ ПЛИТСЭЙВ предназначена для очистки поверхности от остатков эпоксидной затирки.</t>
        </is>
      </c>
      <c r="H176" s="7" t="inlineStr"/>
      <c r="I176" s="7" t="inlineStr">
        <is>
          <t>Расход, м²
10</t>
        </is>
      </c>
      <c r="J176" s="7" t="inlineStr"/>
      <c r="K176" s="7" t="inlineStr"/>
      <c r="L176" s="7" t="inlineStr">
        <is>
          <t>—</t>
        </is>
      </c>
      <c r="M176" s="7" t="inlineStr"/>
      <c r="N176" s="7" t="inlineStr">
        <is>
          <t>https://osnovit.ru/catalog/epoksidnye-zatirki-i-materialy-dlya-ochistki-/gubka-dlya-ochistki-epoksidnykh-ostatkov-osnovit-plitseyv/</t>
        </is>
      </c>
      <c r="O176" s="7" t="inlineStr">
        <is>
          <t>Инструмент (губка), не смесь; сопутствующий товар к эпоксидной затирке. Тип cleaning_care выбран как ближайший (альтернатива — other). Фасовки нет, вес нетто 0,13 кг. Ссылки на техкарту в pdfs нет.</t>
        </is>
      </c>
    </row>
    <row r="177">
      <c r="A177" s="7" t="inlineStr">
        <is>
          <t>Основит</t>
        </is>
      </c>
      <c r="B177" s="7" t="inlineStr">
        <is>
          <t>Сопутствующие, не сухие: Бытовые средства ухода и очистки</t>
        </is>
      </c>
      <c r="C177" s="7" t="inlineStr">
        <is>
          <t>нет</t>
        </is>
      </c>
      <c r="D177" s="7" t="inlineStr">
        <is>
          <t>Основит Сэйфскрин SAL1</t>
        </is>
      </c>
      <c r="E177" s="7" t="inlineStr">
        <is>
          <t>Очиститель межплиточных швов Основит Сэйфскрин SAL1 750 мл</t>
        </is>
      </c>
      <c r="F177" s="7" t="n">
        <v>1</v>
      </c>
      <c r="G177" s="7" t="inlineStr">
        <is>
          <t>Очиститель межплиточных швов ОСНОВИТ предназначен для удаления масла, жира, грязи, сажи, известкового налета и прочих загрязнений, в том числе въевшихся из швов напольной и настенной плитки.</t>
        </is>
      </c>
      <c r="H177" s="7" t="inlineStr">
        <is>
          <t>750 мл</t>
        </is>
      </c>
      <c r="I177" s="7" t="inlineStr"/>
      <c r="J177" s="7" t="inlineStr"/>
      <c r="K177" s="7" t="inlineStr"/>
      <c r="L177" s="7" t="inlineStr">
        <is>
          <t>—</t>
        </is>
      </c>
      <c r="M177" s="7" t="inlineStr"/>
      <c r="N177" s="7" t="inlineStr">
        <is>
          <t>https://osnovit.ru/catalog/osnovit-home/seyfskrin-sal1/</t>
        </is>
      </c>
      <c r="O177" s="7" t="inlineStr">
        <is>
          <t>Поле «Состав» на странице пустое (сразу идёт «Меры предосторожности»). Про внутренние/наружные работы не сказано. Нет pdf во входе.</t>
        </is>
      </c>
    </row>
    <row r="178">
      <c r="A178" s="7" t="inlineStr">
        <is>
          <t>Основит</t>
        </is>
      </c>
      <c r="B178" s="7" t="inlineStr">
        <is>
          <t>Сопутствующие, не сухие: Бытовые средства ухода и очистки</t>
        </is>
      </c>
      <c r="C178" s="7" t="inlineStr">
        <is>
          <t>нет</t>
        </is>
      </c>
      <c r="D178" s="7" t="inlineStr">
        <is>
          <t>Основит Сэйфскрин SAL2</t>
        </is>
      </c>
      <c r="E178" s="7" t="inlineStr">
        <is>
          <t>Очиститель плитки Основит Сэйфскрин SAL2 750 мл</t>
        </is>
      </c>
      <c r="F178" s="7" t="n">
        <v>1</v>
      </c>
      <c r="G178" s="7" t="inlineStr">
        <is>
          <t>Очиститель плитки ОСНОВИТ предназначен для удаления известковых и водяных пятен, остатков мыла, грязи и других малозаметных отложений после ремонтных работ и для поддержания чистоты во время эксплуатации.</t>
        </is>
      </c>
      <c r="H178" s="7" t="inlineStr">
        <is>
          <t>750 мл</t>
        </is>
      </c>
      <c r="I178" s="7" t="inlineStr"/>
      <c r="J178" s="7" t="inlineStr"/>
      <c r="K178" s="7" t="inlineStr"/>
      <c r="L178" s="7" t="inlineStr">
        <is>
          <t>—</t>
        </is>
      </c>
      <c r="M178" s="7" t="inlineStr"/>
      <c r="N178" s="7" t="inlineStr">
        <is>
          <t>https://osnovit.ru/catalog/osnovit-home/seyfskrin-sal2/</t>
        </is>
      </c>
      <c r="O178" s="7" t="inlineStr">
        <is>
          <t>Поле «Состав» пустое; блока «Рекомендуемые основания» нет. Нет pdf во входе.</t>
        </is>
      </c>
    </row>
    <row r="179">
      <c r="A179" s="7" t="inlineStr">
        <is>
          <t>Основит</t>
        </is>
      </c>
      <c r="B179" s="7" t="inlineStr">
        <is>
          <t>Сопутствующие, не сухие: Бытовые средства ухода и очистки</t>
        </is>
      </c>
      <c r="C179" s="7" t="inlineStr">
        <is>
          <t>нет</t>
        </is>
      </c>
      <c r="D179" s="7" t="inlineStr">
        <is>
          <t>Основит Сэйфскрин SBD1</t>
        </is>
      </c>
      <c r="E179" s="7" t="inlineStr">
        <is>
          <t>Средство-концентрат противогрибковое Основит Сэйфскрин SBD1 1 л</t>
        </is>
      </c>
      <c r="F179" s="7" t="n">
        <v>2</v>
      </c>
      <c r="G179" s="7" t="inlineStr">
        <is>
          <t>Противогрибковое средство-концентрат СЭЙФСКРИН SBD1 предназначено для уничтожения грибков, плесени, лишайников, мхов, водорослей и бактерий на заражённых минеральных основаниях.</t>
        </is>
      </c>
      <c r="H179" s="7" t="inlineStr">
        <is>
          <t>Сэйфскрин SBD1 1 л</t>
        </is>
      </c>
      <c r="I179" s="7" t="inlineStr">
        <is>
          <t>50-100 мл/ м²</t>
        </is>
      </c>
      <c r="J179" s="7" t="inlineStr"/>
      <c r="K179" s="7" t="inlineStr"/>
      <c r="L179" s="7" t="inlineStr">
        <is>
          <t>—</t>
        </is>
      </c>
      <c r="M179" s="7" t="inlineStr"/>
      <c r="N179" s="7" t="inlineStr">
        <is>
          <t>https://osnovit.ru/catalog/spetsialnye-rastvory/seyfskrin-svd1/</t>
        </is>
      </c>
      <c r="O179" s="7" t="inlineStr">
        <is>
          <t>Тип: противогрибковый концентрат (антисептик); точной категории нет, отнесён к cleaning_care. Расход по таблице разбавления: защита 1:5 — 50-100 мл/м², уничтожение 1:2–1:4 — 80-200 мл/м². Слаг URL «seyfskrin-svd1», код на странице SBD1 (в документации «SBd1»). Документы — в pdfs нет.</t>
        </is>
      </c>
    </row>
    <row r="180">
      <c r="A180" s="7" t="inlineStr">
        <is>
          <t>Основит</t>
        </is>
      </c>
      <c r="B180" s="7" t="inlineStr">
        <is>
          <t>Сопутствующие, не сухие: Бытовые средства ухода и очистки</t>
        </is>
      </c>
      <c r="C180" s="7" t="inlineStr">
        <is>
          <t>нет</t>
        </is>
      </c>
      <c r="D180" s="7" t="inlineStr">
        <is>
          <t>Основит Сэйфскрин SBD2</t>
        </is>
      </c>
      <c r="E180" s="7" t="inlineStr">
        <is>
          <t>Удалитель плесени Основит Сэйфскрин SBD2 750 мл</t>
        </is>
      </c>
      <c r="F180" s="7" t="n">
        <v>1</v>
      </c>
      <c r="G180" s="7" t="inlineStr">
        <is>
          <t>Удалитель плесени ОСНОВИТ предназначен для быстрого и безвредного уничтожения грибков, плесени, лишайников, мхов, водорослей и бактерий на заражённых основаниях.</t>
        </is>
      </c>
      <c r="H180" s="7" t="inlineStr">
        <is>
          <t>750 мл</t>
        </is>
      </c>
      <c r="I180" s="7" t="inlineStr"/>
      <c r="J180" s="7" t="inlineStr"/>
      <c r="K180" s="7" t="inlineStr"/>
      <c r="L180" s="7" t="inlineStr">
        <is>
          <t>—</t>
        </is>
      </c>
      <c r="M180" s="7" t="inlineStr"/>
      <c r="N180" s="7" t="inlineStr">
        <is>
          <t>https://osnovit.ru/catalog/osnovit-home/seyfskrin-sbd2/</t>
        </is>
      </c>
      <c r="O180" s="7" t="inlineStr">
        <is>
          <t>Хлорсодержащий удалитель плесени, не сухая смесь. Расхода нет. Нет pdf во входе.</t>
        </is>
      </c>
    </row>
    <row r="181">
      <c r="A181" s="7" t="inlineStr">
        <is>
          <t>Основит</t>
        </is>
      </c>
      <c r="B181" s="7" t="inlineStr">
        <is>
          <t>Сопутствующие, не сухие: Бытовые средства ухода и очистки</t>
        </is>
      </c>
      <c r="C181" s="7" t="inlineStr">
        <is>
          <t>нет</t>
        </is>
      </c>
      <c r="D181" s="7" t="inlineStr">
        <is>
          <t>Основит Сэйфскрин SGL1</t>
        </is>
      </c>
      <c r="E181" s="7" t="inlineStr">
        <is>
          <t>Удалитель цемента Основит Сэйфскрин SGL1 750 мл</t>
        </is>
      </c>
      <c r="F181" s="7" t="n">
        <v>1</v>
      </c>
      <c r="G181" s="7" t="inlineStr">
        <is>
          <t>Средство для удаления цемента ОСНОВИТ предназначено для быстрого и легкого очищения затвердевшего бетона, цемента, гипсовых и известковых растворов, штукатурок, полимерных шпаклевок, плиточных клеев, затирок, ВД красок и высолов с любого типа поверхности, в том числе со строительного инструмента.</t>
        </is>
      </c>
      <c r="H181" s="7" t="inlineStr">
        <is>
          <t>750 мл</t>
        </is>
      </c>
      <c r="I181" s="7" t="inlineStr"/>
      <c r="J181" s="7" t="inlineStr"/>
      <c r="K181" s="7" t="inlineStr"/>
      <c r="L181" s="7" t="inlineStr">
        <is>
          <t>—</t>
        </is>
      </c>
      <c r="M181" s="7" t="inlineStr"/>
      <c r="N181" s="7" t="inlineStr">
        <is>
          <t>https://osnovit.ru/catalog/osnovit-home/seyfskrin-sgl1/</t>
        </is>
      </c>
      <c r="O181" s="7" t="inlineStr">
        <is>
          <t>Кислотная смывка цемента; удаляет и высолы, поэтому возможен efflorescence_remover, выбран cleaning_care. Про внутренние/наружные работы не сказано. Расхода нет. Нет pdf во входе.</t>
        </is>
      </c>
    </row>
    <row r="182">
      <c r="A182" s="7" t="inlineStr">
        <is>
          <t>Основит</t>
        </is>
      </c>
      <c r="B182" s="7" t="inlineStr">
        <is>
          <t>Сопутствующие, не сухие: Бытовые средства ухода и очистки</t>
        </is>
      </c>
      <c r="C182" s="7" t="inlineStr">
        <is>
          <t>нет</t>
        </is>
      </c>
      <c r="D182" s="7" t="inlineStr">
        <is>
          <t>Основит Сэйфскрин Экстра SAL11</t>
        </is>
      </c>
      <c r="E182" s="7" t="inlineStr">
        <is>
          <t>Очиститель межплиточных швов ОСНОВИТ СЭЙФСКРИН ЭКСТРА SAL11</t>
        </is>
      </c>
      <c r="F182" s="7" t="n">
        <v>1</v>
      </c>
      <c r="G182" s="7" t="inlineStr">
        <is>
          <t>Очиститель межплиточных швов экстра ОСНОВИТ СЭЙФСКРИН ЭКСТРА SAL11 предназначен для удаления масла, жира, грязи, сажи, известкового налета и прочих загрязнений, в том числе въевшихся, застарелых, из швов напольной и настенной плитки.</t>
        </is>
      </c>
      <c r="H182" s="7" t="inlineStr"/>
      <c r="I182" s="7" t="inlineStr"/>
      <c r="J182" s="7" t="inlineStr"/>
      <c r="K182" s="7" t="inlineStr"/>
      <c r="L182" s="7" t="inlineStr">
        <is>
          <t>—</t>
        </is>
      </c>
      <c r="M182" s="7" t="inlineStr"/>
      <c r="N182" s="7" t="inlineStr">
        <is>
          <t>https://osnovit.ru/catalog/osnovit-home/ochistitel-mezhplitochnykh-shvov-osnovit-seyfskrin-ekstra-sal11/</t>
        </is>
      </c>
      <c r="O182" s="7" t="inlineStr">
        <is>
          <t>Жидкий очиститель швов, не сухая смесь. На странице нет кнопки «Купить» (у большинства карточек пачки есть). Фасовка и расход не указаны. Нет pdf во входе.</t>
        </is>
      </c>
    </row>
    <row r="183">
      <c r="A183" s="7" t="inlineStr">
        <is>
          <t>Основит</t>
        </is>
      </c>
      <c r="B183" s="7" t="inlineStr">
        <is>
          <t>Сопутствующие, не сухие: Бытовые средства ухода и очистки</t>
        </is>
      </c>
      <c r="C183" s="7" t="inlineStr">
        <is>
          <t>нет</t>
        </is>
      </c>
      <c r="D183" s="7" t="inlineStr">
        <is>
          <t>Основит Сэйфскрин Экстра SAL22</t>
        </is>
      </c>
      <c r="E183" s="7" t="inlineStr">
        <is>
          <t>Очиститель плитки Основит Сэйфскрин Экстра SAL22</t>
        </is>
      </c>
      <c r="F183" s="7" t="n">
        <v>1</v>
      </c>
      <c r="G183" s="7" t="inlineStr">
        <is>
          <t>Очиститель плитки экстра ОСНОВИТ СЭЙФСКРИН ЭКСТРА SAL22 предназначен для удаления известковых и водяных пятен, остатков мыла, грязи и других загрязнений после ремонтных работ и для поддержания чистоты поверхностей во время эксплуатации.</t>
        </is>
      </c>
      <c r="H183" s="7" t="inlineStr"/>
      <c r="I183" s="7" t="inlineStr"/>
      <c r="J183" s="7" t="inlineStr"/>
      <c r="K183" s="7" t="inlineStr"/>
      <c r="L183" s="7" t="inlineStr">
        <is>
          <t>—</t>
        </is>
      </c>
      <c r="M183" s="7" t="inlineStr"/>
      <c r="N183" s="7" t="inlineStr">
        <is>
          <t>https://osnovit.ru/catalog/osnovit-home/ochistitel-plitki-osnovit-seyfskrin-ekstra-sal22/</t>
        </is>
      </c>
      <c r="O183" s="7" t="inlineStr">
        <is>
          <t>Нет кнопки «Купить». Фасовка и расход не указаны. В «Рекомендуемых основаниях» керамогранит повторён дважды (как на странице). Нет pdf во входе.</t>
        </is>
      </c>
    </row>
    <row r="184">
      <c r="A184" s="7" t="inlineStr">
        <is>
          <t>Основит</t>
        </is>
      </c>
      <c r="B184" s="7" t="inlineStr">
        <is>
          <t>Сопутствующие, не сухие: Бытовые средства ухода и очистки</t>
        </is>
      </c>
      <c r="C184" s="7" t="inlineStr">
        <is>
          <t>нет</t>
        </is>
      </c>
      <c r="D184" s="7" t="inlineStr">
        <is>
          <t>Основит Сэйфскрин Экстра SBD11</t>
        </is>
      </c>
      <c r="E184" s="7" t="inlineStr">
        <is>
          <t>Антиплесень Основит Сэйфскрин Экстра SBD11</t>
        </is>
      </c>
      <c r="F184" s="7" t="n">
        <v>1</v>
      </c>
      <c r="G184" s="7" t="inlineStr">
        <is>
          <t>предназначена для быстрого и эффективного уничтожения грибков, плесени, лишайников, мхов, водорослей, бактерий, спор, а также мыльных и слизистых отложений на заражённых основаниях, после обработки поверхности предотвращает повторное появление биопоражения.</t>
        </is>
      </c>
      <c r="H184" s="7" t="inlineStr"/>
      <c r="I184" s="7" t="inlineStr"/>
      <c r="J184" s="7" t="inlineStr"/>
      <c r="K184" s="7" t="inlineStr"/>
      <c r="L184" s="7" t="inlineStr">
        <is>
          <t>—</t>
        </is>
      </c>
      <c r="M184" s="7" t="inlineStr"/>
      <c r="N184" s="7" t="inlineStr">
        <is>
          <t>https://osnovit.ru/catalog/osnovit-home/seyfskrin-ekstra-sbd11/</t>
        </is>
      </c>
      <c r="O184" s="7" t="inlineStr">
        <is>
          <t>Линейка «Экстра» (технология NANOSPLIT) — отдельный продукт от SBD1, не фасовка. Фасовка и расход на странице не указаны; значение «Срок хранения» на странице переносится на следующую строку (взята первая строка). Нет pdf во входе.</t>
        </is>
      </c>
    </row>
    <row r="185">
      <c r="A185" s="7" t="inlineStr">
        <is>
          <t>Основит</t>
        </is>
      </c>
      <c r="B185" s="7" t="inlineStr">
        <is>
          <t>Сопутствующие, не сухие: Бытовые средства ухода и очистки</t>
        </is>
      </c>
      <c r="C185" s="7" t="inlineStr">
        <is>
          <t>нет</t>
        </is>
      </c>
      <c r="D185" s="7" t="inlineStr">
        <is>
          <t>Основит Сэйфскрин Экстра SBD22</t>
        </is>
      </c>
      <c r="E185" s="7" t="inlineStr">
        <is>
          <t>Удалитель плесени Основит Сэйфскрин Экстра SBD22</t>
        </is>
      </c>
      <c r="F185" s="7" t="n">
        <v>1</v>
      </c>
      <c r="G185" s="7" t="inlineStr">
        <is>
          <t>Удалитель плесени экстра ОСНОВИТ СЭЙФСКРИН ЭКСТРА SBD22 предназначен для быстрого эффективного и безопасного уничтожения грибков, плесени, лишайников, мхов, водорослей и бактерий на заражённых основаниях.</t>
        </is>
      </c>
      <c r="H185" s="7" t="inlineStr"/>
      <c r="I185" s="7" t="inlineStr"/>
      <c r="J185" s="7" t="inlineStr"/>
      <c r="K185" s="7" t="inlineStr"/>
      <c r="L185" s="7" t="inlineStr">
        <is>
          <t>—</t>
        </is>
      </c>
      <c r="M185" s="7" t="inlineStr"/>
      <c r="N185" s="7" t="inlineStr">
        <is>
          <t>https://osnovit.ru/catalog/osnovit-home/udalitel-pleseni-osnovit-seyfskrin-ekstra-sbd22-/</t>
        </is>
      </c>
      <c r="O185" s="7" t="inlineStr">
        <is>
          <t>Фасовка и расход не указаны. Нет pdf во входе.</t>
        </is>
      </c>
    </row>
    <row r="186">
      <c r="A186" s="7" t="inlineStr">
        <is>
          <t>Основит</t>
        </is>
      </c>
      <c r="B186" s="7" t="inlineStr">
        <is>
          <t>Сопутствующие, не сухие: Бытовые средства ухода и очистки</t>
        </is>
      </c>
      <c r="C186" s="7" t="inlineStr">
        <is>
          <t>нет</t>
        </is>
      </c>
      <c r="D186" s="7" t="inlineStr">
        <is>
          <t>Основит Сэйфскрин Экстра SGL11</t>
        </is>
      </c>
      <c r="E186" s="7" t="inlineStr">
        <is>
          <t>Удалитель цемента Основит Сэйфскрин Экстра SGL11</t>
        </is>
      </c>
      <c r="F186" s="7" t="n">
        <v>1</v>
      </c>
      <c r="G186" s="7" t="inlineStr">
        <is>
          <t>Удалитель цемента экстра ОСНОВИТ СЭЙФСКРИН ЭКСТРА SGL11 предназначена для быстрого и легкого очищения затвердевшего бетона, цемента, гипсовых и известковых растворов, штукатурок, полимерных шпаклевок, плиточных клеев, затирок, ВД красок и высолов с любого типа поверхности, в том числе со строительного инструмента.</t>
        </is>
      </c>
      <c r="H186" s="7" t="inlineStr">
        <is>
          <t>0,5 л; 1 л</t>
        </is>
      </c>
      <c r="I186" s="7" t="inlineStr">
        <is>
          <t>100 – 200 мл/м²</t>
        </is>
      </c>
      <c r="J186" s="7" t="inlineStr"/>
      <c r="K186" s="7" t="inlineStr"/>
      <c r="L186" s="7" t="inlineStr">
        <is>
          <t>—</t>
        </is>
      </c>
      <c r="M186" s="7" t="inlineStr"/>
      <c r="N186" s="7" t="inlineStr">
        <is>
          <t>https://osnovit.ru/catalog/osnovit-home/udalitel-tsementa-osnovit-seyfskrin-ekstra-sgl11-/</t>
        </is>
      </c>
      <c r="O186" s="7" t="inlineStr">
        <is>
          <t>Срок хранения дан дважды: «30 мес» в таблице и «30 месяцев» в тексте. Фасовка «0,5 л; 1 л» указана в поле «Вес упаковки». Кислотная смывка; возможен efflorescence_remover. Нет pdf во входе.</t>
        </is>
      </c>
    </row>
    <row r="187">
      <c r="A187" s="7" t="inlineStr">
        <is>
          <t>Основит</t>
        </is>
      </c>
      <c r="B187" s="7" t="inlineStr">
        <is>
          <t>Сопутствующие, не сухие: Герметики</t>
        </is>
      </c>
      <c r="C187" s="7" t="inlineStr">
        <is>
          <t>нет</t>
        </is>
      </c>
      <c r="D187" s="7" t="inlineStr">
        <is>
          <t>Основит Плитсэйв XSL15</t>
        </is>
      </c>
      <c r="E187" s="7" t="inlineStr">
        <is>
          <t>Герметик санитарный силиконовый ПЛИТСЭЙВ</t>
        </is>
      </c>
      <c r="F187" s="7" t="n">
        <v>1</v>
      </c>
      <c r="G187" s="7" t="inlineStr">
        <is>
          <t>предназначен для герметизации швов и стыков плиточных облицовок всех видов в ванных комнатах, душевых кабинках, бассейнах, санузлах, кухнях и других помещениях, эксплуатируемых во влажной среде.</t>
        </is>
      </c>
      <c r="H187" s="7" t="inlineStr">
        <is>
          <t>280 мл</t>
        </is>
      </c>
      <c r="I187" s="7" t="inlineStr">
        <is>
          <t>~5,5 мл</t>
        </is>
      </c>
      <c r="J187" s="7" t="inlineStr"/>
      <c r="K187" s="7" t="inlineStr"/>
      <c r="L187" s="7" t="inlineStr">
        <is>
          <t>—</t>
        </is>
      </c>
      <c r="M187" s="7" t="inlineStr">
        <is>
          <t>Белый, черный, серый, прозрачный</t>
        </is>
      </c>
      <c r="N187" s="7" t="inlineStr">
        <is>
          <t>https://osnovit.ru/catalog/germetiki/germetik-sanitarnyy-silikonovyy-plitseyv/</t>
        </is>
      </c>
      <c r="O187" s="7" t="inlineStr">
        <is>
          <t>Готовый силиконовый герметик кислотного типа (картридж). Код модели в тексте «ХSL15» с кириллической «Х»; в product_code/series_key приведён к латинице. «Вес упаковки» указан в мл. Расход дан на шов 10х5 мм на 1 п.м. Цвет не выбран — карточка общая на 4 цвета.</t>
        </is>
      </c>
    </row>
    <row r="188">
      <c r="A188" s="7" t="inlineStr">
        <is>
          <t>Dauer</t>
        </is>
      </c>
      <c r="B188" s="7" t="inlineStr">
        <is>
          <t>Сопутствующие, не сухие: Гидроизоляция готовая (жидкая)</t>
        </is>
      </c>
      <c r="C188" s="7" t="inlineStr">
        <is>
          <t>нет</t>
        </is>
      </c>
      <c r="D188" s="7" t="inlineStr">
        <is>
          <t>Dauer SAVER 707</t>
        </is>
      </c>
      <c r="E188" s="7" t="inlineStr">
        <is>
          <t>Dauer SAVER 707 Гидроизоляция готовая полимерная</t>
        </is>
      </c>
      <c r="F188" s="7" t="n">
        <v>1</v>
      </c>
      <c r="G188" s="7" t="inlineStr">
        <is>
          <t>Гидроизоляция готовая на полимерной основе, предназначена для создания эластичного гидроизоляционного покрытия на горизонтальных и вертикальных поверхностях в помещениях под последующую укладку керамической и клинкерной плитки, керамогранита, натурального и искусственного камня, подверженных периодическому увлажнению (ванных, душевых, туалетах, кухнях и т.д.).</t>
        </is>
      </c>
      <c r="H188" s="7" t="inlineStr">
        <is>
          <t>14 кг.</t>
        </is>
      </c>
      <c r="I188" s="7" t="inlineStr">
        <is>
          <t>1,4 кг/м2</t>
        </is>
      </c>
      <c r="J188" s="7" t="inlineStr"/>
      <c r="K188" s="7" t="inlineStr">
        <is>
          <t>ТУ 23.99.12-013-19588510-2026</t>
        </is>
      </c>
      <c r="L188" s="7" t="inlineStr">
        <is>
          <t>—</t>
        </is>
      </c>
      <c r="M188" s="7" t="inlineStr"/>
      <c r="N188" s="7" t="inlineStr">
        <is>
          <t>https://dauer.ru/catalog/gidroizolyatsiya/dauer-saver-707/</t>
        </is>
      </c>
      <c r="O188" s="7" t="inlineStr">
        <is>
          <t>Готовая полимерная гидроизоляция в ведре 14 кг, цвет синий; расход 1,4 кг/м2 при слое 1 мм, рекомендовано 2 слоя. Прямо «для внутренних работ» не сказано — только «в помещениях». Хранение в ведрах, выдерживает 5 циклов замораживания в упаковке (это не зимняя версия).</t>
        </is>
      </c>
    </row>
    <row r="189">
      <c r="A189" s="7" t="inlineStr">
        <is>
          <t>Perel</t>
        </is>
      </c>
      <c r="B189" s="7" t="inlineStr">
        <is>
          <t>Сопутствующие, не сухие: Гидроизоляция готовая (жидкая)</t>
        </is>
      </c>
      <c r="C189" s="7" t="inlineStr">
        <is>
          <t>нет</t>
        </is>
      </c>
      <c r="D189" s="7" t="inlineStr">
        <is>
          <t>Perel Isolante</t>
        </is>
      </c>
      <c r="E189" s="7" t="inlineStr">
        <is>
          <t>Perel Isolante, 14 кг, полиакриловая гидроизоляция</t>
        </is>
      </c>
      <c r="F189" s="7" t="n">
        <v>1</v>
      </c>
      <c r="G189" s="7" t="inlineStr">
        <is>
          <t>Готовая к использованию мастика, предназначена для создания сплошной гидроизоляции помещений, требующих защиту от протекания (ванные комнаты, душевые, прачечные и т.п.).</t>
        </is>
      </c>
      <c r="H189" s="7" t="inlineStr">
        <is>
          <t>Пластиковое ведро 14 кг</t>
        </is>
      </c>
      <c r="I189" s="7" t="inlineStr">
        <is>
          <t>Расход при однослойном нанесении – 120-400 г/м².</t>
        </is>
      </c>
      <c r="J189" s="7" t="inlineStr">
        <is>
          <t>Минимальная рекомендуемая толщина гидроизоляционной пленки 0,4 мм</t>
        </is>
      </c>
      <c r="K189" s="7" t="inlineStr"/>
      <c r="L189" s="7" t="inlineStr">
        <is>
          <t>—</t>
        </is>
      </c>
      <c r="M189" s="7" t="inlineStr"/>
      <c r="N189" s="7" t="inlineStr">
        <is>
          <t>https://td-perel.ru/catalog/gidroizolyatsiya/perel-isolante/</t>
        </is>
      </c>
      <c r="O189" s="7" t="inlineStr">
        <is>
          <t>Основа указана только в названии («полиакриловая»). Перекрывает трещины до 2 мм; не для бассейнов, колодцев и резервуаров; не финишное покрытие. Срок годности 18 месяцев. Артикул на странице «-».</t>
        </is>
      </c>
    </row>
    <row r="190">
      <c r="A190" s="7" t="inlineStr">
        <is>
          <t>Основит</t>
        </is>
      </c>
      <c r="B190" s="7" t="inlineStr">
        <is>
          <t>Сопутствующие, не сухие: Гидроизоляция готовая (жидкая)</t>
        </is>
      </c>
      <c r="C190" s="7" t="inlineStr">
        <is>
          <t>нет</t>
        </is>
      </c>
      <c r="D190" s="7" t="inlineStr">
        <is>
          <t>Основит Акваскрин HA64</t>
        </is>
      </c>
      <c r="E190" s="7" t="inlineStr">
        <is>
          <t>Гидроизоляция эластичная готовая Основит Акваскрин HA64</t>
        </is>
      </c>
      <c r="F190" s="7" t="n">
        <v>1</v>
      </c>
      <c r="G190" s="7" t="inlineStr">
        <is>
          <t>предназначена для создания гидроизоляционного барьера на горизонтальных и вертикальных поверхностях с периодическим увлажнением в помещениях с любым уровнем влажности под последующую укладку керамической и клинкерной плитки, керамогранита, натурального и искусственного камня.</t>
        </is>
      </c>
      <c r="H190" s="7" t="inlineStr">
        <is>
          <t>4,5 кг, 15 кг</t>
        </is>
      </c>
      <c r="I190" s="7" t="inlineStr">
        <is>
          <t>0,35-0,5 кг</t>
        </is>
      </c>
      <c r="J190" s="7" t="inlineStr"/>
      <c r="K190" s="7" t="inlineStr"/>
      <c r="L190" s="7" t="inlineStr">
        <is>
          <t>—</t>
        </is>
      </c>
      <c r="M190" s="7" t="inlineStr"/>
      <c r="N190" s="7" t="inlineStr">
        <is>
          <t>https://osnovit.ru/catalog/gidroizolyatsiya/gidroizolyatsiya-gotovaya-elastichnaya-osnovit-khardskrin-hac64-/</t>
        </is>
      </c>
      <c r="O190" s="7" t="inlineStr">
        <is>
          <t>Готовая паста, не сухая смесь. Расход 0,35-0,5 кг на 1 м² на один слой. Похоже, на странице перепутаны температуры: нанесение «-20°С…+50°С», эксплуатация «+5°С…+40°С» — проверить по техкарте. Адрес страницы содержит «khardskrin-hac64», название — Акваскрин HA64. Две фасовки: 4,5 и 15 кг.</t>
        </is>
      </c>
    </row>
    <row r="191">
      <c r="A191" s="7" t="inlineStr">
        <is>
          <t>Perel</t>
        </is>
      </c>
      <c r="B191" s="7" t="inlineStr">
        <is>
          <t>Сопутствующие, не сухие: Гидрофобизаторы</t>
        </is>
      </c>
      <c r="C191" s="7" t="inlineStr">
        <is>
          <t>нет</t>
        </is>
      </c>
      <c r="D191" s="7" t="inlineStr">
        <is>
          <t>Perel Impregno</t>
        </is>
      </c>
      <c r="E191" s="7" t="inlineStr">
        <is>
          <t>Perel Impregno, 10 л</t>
        </is>
      </c>
      <c r="F191" s="7" t="n">
        <v>2</v>
      </c>
      <c r="G191" s="7" t="inlineStr">
        <is>
          <t>Применяется для обработки различных видов строительных объектов, конструкций и поверхностей из кирпича, бетона, штукатурки, пенобетона, шифера, дерева, ЦСП, ДВП, декоративных минеральных отделочных материалов.</t>
        </is>
      </c>
      <c r="H191" s="7" t="inlineStr">
        <is>
          <t>Пластиковая канистра 10 л.</t>
        </is>
      </c>
      <c r="I191" s="7" t="inlineStr">
        <is>
          <t>Расход: 150-350 мл/м²</t>
        </is>
      </c>
      <c r="J191" s="7" t="inlineStr"/>
      <c r="K191" s="7" t="inlineStr"/>
      <c r="L191" s="7" t="inlineStr">
        <is>
          <t>—</t>
        </is>
      </c>
      <c r="M191" s="7" t="inlineStr"/>
      <c r="N191" s="7" t="inlineStr">
        <is>
          <t>https://td-perel.ru/catalog/gidrofobizator/perel-impregno-10-l/</t>
        </is>
      </c>
      <c r="O191" s="7" t="inlineStr">
        <is>
          <t xml:space="preserve">ПРОТИВОРЕЧИЕ с карточкой 5 л (perel__catalog__gidrofobizator__perel-impregno-5-l9044954). Здесь лид: «на основе уайт-спирита… для поверхностей с низким водопоглощением». Там: «водно-дисперсионный состав… с высоким водопоглощением». Остальной текст одинаковый. Возможно, под одним именем два разных состава — уточнить у Влада/производителя до склейки. При уайт-спиритовой основе текст всё равно велит </t>
        </is>
      </c>
    </row>
    <row r="192">
      <c r="A192" s="7" t="inlineStr">
        <is>
          <t>Основит</t>
        </is>
      </c>
      <c r="B192" s="7" t="inlineStr">
        <is>
          <t>Сопутствующие, не сухие: Гидрофобизаторы</t>
        </is>
      </c>
      <c r="C192" s="7" t="inlineStr">
        <is>
          <t>нет</t>
        </is>
      </c>
      <c r="D192" s="7" t="inlineStr">
        <is>
          <t>Основит Сэйфскрин SSL15</t>
        </is>
      </c>
      <c r="E192" s="7" t="inlineStr">
        <is>
          <t>Пропитка водо-грязеотталкивающая Основит Сэйфскрин SSL15 750 мл</t>
        </is>
      </c>
      <c r="F192" s="7" t="n">
        <v>2</v>
      </c>
      <c r="G192" s="7" t="inlineStr">
        <is>
          <t>Водо-грязеотталкивающая пропитка ОСНОВИТ предназначена для защиты от загрязнений, атмосферных воздействий, образований высолов, поражений грибком кирпичных и бетонных оснований, цементных и цементно-известковых штукатурок, минеральных декоративных покрытий, межплиточных швов, облицовочного камня, пено- и газобетона.</t>
        </is>
      </c>
      <c r="H192" s="7" t="inlineStr">
        <is>
          <t>Объём упаковки
5 л</t>
        </is>
      </c>
      <c r="I192" s="7" t="inlineStr">
        <is>
          <t>150 – 600 мл/м²</t>
        </is>
      </c>
      <c r="J192" s="7" t="inlineStr"/>
      <c r="K192" s="7" t="inlineStr"/>
      <c r="L192" s="7" t="inlineStr">
        <is>
          <t>—</t>
        </is>
      </c>
      <c r="M192" s="7" t="inlineStr"/>
      <c r="N192" s="7" t="inlineStr">
        <is>
          <t>https://osnovit.ru/catalog/osnovit-home/seyfskrin-ssl1/</t>
        </is>
      </c>
      <c r="O192" s="7" t="inlineStr">
        <is>
          <t>Пропитка на силиконах = гидрофобизатор (в других карточках этот же код упоминается как «Гидрофобизатор Основит Сэйфскрин SSL15 5 л» — вероятно, другая фасовка того же продукта). Адрес страницы …/seyfskrin-ssl1/, а в названии SSL15. Расхода нет. Нет pdf во входе.</t>
        </is>
      </c>
    </row>
    <row r="193">
      <c r="A193" s="7" t="inlineStr">
        <is>
          <t>Основит</t>
        </is>
      </c>
      <c r="B193" s="7" t="inlineStr">
        <is>
          <t>Сопутствующие, не сухие: Гидрофобизаторы</t>
        </is>
      </c>
      <c r="C193" s="7" t="inlineStr">
        <is>
          <t>нет</t>
        </is>
      </c>
      <c r="D193" s="7" t="inlineStr">
        <is>
          <t>Основит Сэйфскрин Экстра SSL155</t>
        </is>
      </c>
      <c r="E193" s="7" t="inlineStr">
        <is>
          <t>Пропитка водо-грязеотталкивающая Основит Сэйфскрин Экстра SSL155</t>
        </is>
      </c>
      <c r="F193" s="7" t="n">
        <v>1</v>
      </c>
      <c r="G193" s="7" t="inlineStr">
        <is>
          <t>Водо-грязеотталкивающая пропитка экстра ОСНОВИТ СЭЙФСКРИН ЭКСТРА SSL155 предназначена для защиты от загрязнений, атмосферных воздействий, образований высолов, поражений грибком кирпичных и бетонных оснований, цементных и цементно-известковых штукатурок, минеральных декоративных покрытий, межплиточных швов, облицовочного камня, пено- и газобетона.</t>
        </is>
      </c>
      <c r="H193" s="7" t="inlineStr"/>
      <c r="I193" s="7" t="inlineStr"/>
      <c r="J193" s="7" t="inlineStr"/>
      <c r="K193" s="7" t="inlineStr"/>
      <c r="L193" s="7" t="inlineStr">
        <is>
          <t>—</t>
        </is>
      </c>
      <c r="M193" s="7" t="inlineStr"/>
      <c r="N193" s="7" t="inlineStr">
        <is>
          <t>https://osnovit.ru/catalog/osnovit-home/vodo-gryazeottalkivayushchaya-propitka-osnovit-seyfskrin-estra-ssl155/</t>
        </is>
      </c>
      <c r="O193" s="7" t="inlineStr">
        <is>
          <t>Готовая жидкая пропитка (на силиконах), не сухая смесь; явной фразы о жидком виде в ядре нет, способ нанесения не описан (есть только «Подготовка основания»). Фасовка и расход не указаны. Нет pdf во входе.</t>
        </is>
      </c>
    </row>
    <row r="194">
      <c r="A194" s="7" t="inlineStr">
        <is>
          <t>Dauer</t>
        </is>
      </c>
      <c r="B194" s="7" t="inlineStr">
        <is>
          <t>Сопутствующие, не сухие: Грунтовки</t>
        </is>
      </c>
      <c r="C194" s="7" t="inlineStr">
        <is>
          <t>нет</t>
        </is>
      </c>
      <c r="D194" s="7" t="inlineStr">
        <is>
          <t>Dauer IMMER 60</t>
        </is>
      </c>
      <c r="E194" s="7" t="inlineStr">
        <is>
          <t>Dauer IMMER® 60 Грунт глубокого проникновения</t>
        </is>
      </c>
      <c r="F194" s="7" t="n">
        <v>1</v>
      </c>
      <c r="G194" s="7" t="inlineStr">
        <is>
          <t>Для обработки и обеспыливания минеральных оснований, под последующее нанесение отделочных материалов: цементных и гипсовых штукатурок, цементных, гипсовых и полимерных шпаклёвок, плиточных и монтажных клеёв, лакокрасочных материалов, обоев и других финишных декоративных покрытий.</t>
        </is>
      </c>
      <c r="H194" s="7" t="inlineStr">
        <is>
          <t>e 10 л / НЕТТО 10 кг</t>
        </is>
      </c>
      <c r="I194" s="7" t="inlineStr">
        <is>
          <t>100-120 мл/м²</t>
        </is>
      </c>
      <c r="J194" s="7" t="inlineStr"/>
      <c r="K194" s="7" t="inlineStr">
        <is>
          <t>ТУ 5772-001-19588510-2020</t>
        </is>
      </c>
      <c r="L194" s="7" t="inlineStr">
        <is>
          <t>—</t>
        </is>
      </c>
      <c r="M194" s="7" t="inlineStr"/>
      <c r="N194" s="7" t="inlineStr">
        <is>
          <t>https://dauer.ru/catalog/grunty/immer-made-60-grunt-bazovyy-ukreplyayushchiy-na-akrilovoy-osnove/</t>
        </is>
      </c>
      <c r="O194" s="7" t="inlineStr">
        <is>
          <t>Полное наименование «Dauer Immer Сделанный (Made) 60». В URL «грунт базовый укрепляющий на акриловой основе», в H1 «глубокого проникновения». Фасовка 10 л (овальное ведро, нетто 10 кг). СГР общий на IMMER 60/61/65.</t>
        </is>
      </c>
    </row>
    <row r="195">
      <c r="A195" s="7" t="inlineStr">
        <is>
          <t>Dauer</t>
        </is>
      </c>
      <c r="B195" s="7" t="inlineStr">
        <is>
          <t>Сопутствующие, не сухие: Грунтовки</t>
        </is>
      </c>
      <c r="C195" s="7" t="inlineStr">
        <is>
          <t>нет</t>
        </is>
      </c>
      <c r="D195" s="7" t="inlineStr">
        <is>
          <t>Dauer IMMER 65</t>
        </is>
      </c>
      <c r="E195" s="7" t="inlineStr">
        <is>
          <t>Dauer IMMER® 65 Про Грунт глубокого проникновения</t>
        </is>
      </c>
      <c r="F195" s="7" t="n">
        <v>1</v>
      </c>
      <c r="G195" s="7" t="inlineStr">
        <is>
          <t>Для предварительной обработки и обеспыливания минеральных оснований. Рекомендуется для упрочнения старых, рыхлых, непрочных и сильновпитывающих оснований.</t>
        </is>
      </c>
      <c r="H195" s="7" t="inlineStr">
        <is>
          <t>5 л./10 л.</t>
        </is>
      </c>
      <c r="I195" s="7" t="inlineStr">
        <is>
          <t>100-120 мл/м²</t>
        </is>
      </c>
      <c r="J195" s="7" t="inlineStr"/>
      <c r="K195" s="7" t="inlineStr">
        <is>
          <t>ТУ 5772-001-19588510-2020</t>
        </is>
      </c>
      <c r="L195" s="7" t="inlineStr">
        <is>
          <t>—</t>
        </is>
      </c>
      <c r="M195" s="7" t="inlineStr"/>
      <c r="N195" s="7" t="inlineStr">
        <is>
          <t>https://dauer.ru/catalog/grunty/immer-made-65-grunt-glubokogo-proniknoveniya/</t>
        </is>
      </c>
      <c r="O195" s="7" t="inlineStr">
        <is>
          <t>Полное наименование «Dauer Immer Сделанный (Made) 65 Про (Pro)». По особенностям защищает от плесени и грибка; рекомендован перед стяжками, ровнителями и наливными полами. Площадь нанесения указана для 10 л. Не для металла и слабовпитывающих оснований.</t>
        </is>
      </c>
    </row>
    <row r="196">
      <c r="A196" s="7" t="inlineStr">
        <is>
          <t>Perel</t>
        </is>
      </c>
      <c r="B196" s="7" t="inlineStr">
        <is>
          <t>Сопутствующие, не сухие: Грунтовки</t>
        </is>
      </c>
      <c r="C196" s="7" t="inlineStr">
        <is>
          <t>нет</t>
        </is>
      </c>
      <c r="D196" s="7" t="inlineStr">
        <is>
          <t>Perel Fixprim</t>
        </is>
      </c>
      <c r="E196" s="7" t="inlineStr">
        <is>
          <t>Perel Fixprim, 10 л</t>
        </is>
      </c>
      <c r="F196" s="7" t="n">
        <v>1</v>
      </c>
      <c r="G196" s="7" t="inlineStr">
        <is>
          <t>Предназначена для укрепления рыхлых, осыпающихся, слабо мелящих, пористых оснований под дальнейшую окраску водно-дисперсионными красками, оклейкой обоями, шпатлеванием, облицовкой керамической плиткой.</t>
        </is>
      </c>
      <c r="H196" s="7" t="inlineStr">
        <is>
          <t>Пластиковая канистра 10 л.</t>
        </is>
      </c>
      <c r="I196" s="7" t="inlineStr"/>
      <c r="J196" s="7" t="inlineStr"/>
      <c r="K196" s="7" t="inlineStr"/>
      <c r="L196" s="7" t="inlineStr">
        <is>
          <t>—</t>
        </is>
      </c>
      <c r="M196" s="7" t="inlineStr"/>
      <c r="N196" s="7" t="inlineStr">
        <is>
          <t>https://td-perel.ru/catalog/gruntovka/perel-fixprim/</t>
        </is>
      </c>
      <c r="O196" s="7" t="inlineStr">
        <is>
          <t>Собственный расход не указан (есть только «уменьшает расход краски на 15%»). В тексте назван «грунтовки акриловой глубокого проникновения». Опечатка производителя «соленных лучей». Блока «Характеристики» нет.</t>
        </is>
      </c>
    </row>
    <row r="197">
      <c r="A197" s="7" t="inlineStr">
        <is>
          <t>Perel</t>
        </is>
      </c>
      <c r="B197" s="7" t="inlineStr">
        <is>
          <t>Сопутствующие, не сухие: Грунтовки</t>
        </is>
      </c>
      <c r="C197" s="7" t="inlineStr">
        <is>
          <t>нет</t>
        </is>
      </c>
      <c r="D197" s="7" t="inlineStr">
        <is>
          <t>Perel Quarzo</t>
        </is>
      </c>
      <c r="E197" s="7" t="inlineStr">
        <is>
          <t>Perel Quarzo, 18 кг</t>
        </is>
      </c>
      <c r="F197" s="7" t="n">
        <v>1</v>
      </c>
      <c r="G197" s="7" t="inlineStr">
        <is>
          <t>Специализированный кварц-грунт на основе полимерных смол с минеральным наполнителем для подготовки основания перед нанесением декоративной штукатурки.</t>
        </is>
      </c>
      <c r="H197" s="7" t="inlineStr">
        <is>
          <t>Пластиковое ведро 18 кг.</t>
        </is>
      </c>
      <c r="I197" s="7" t="inlineStr">
        <is>
          <t>Расход 0,35 кг на 1 м²</t>
        </is>
      </c>
      <c r="J197" s="7" t="inlineStr"/>
      <c r="K197" s="7" t="inlineStr"/>
      <c r="L197" s="7" t="inlineStr">
        <is>
          <t>—</t>
        </is>
      </c>
      <c r="M197" s="7" t="inlineStr"/>
      <c r="N197" s="7" t="inlineStr">
        <is>
          <t>https://td-perel.ru/catalog/gruntovka/perel-quarzo/</t>
        </is>
      </c>
      <c r="O197" s="7" t="inlineStr">
        <is>
          <t>Температура применения не ниже +7°С. Карточки Perel Acrilico рекомендуют его как грунт. Артикул «-».</t>
        </is>
      </c>
    </row>
    <row r="198">
      <c r="A198" s="7" t="inlineStr">
        <is>
          <t>Perel</t>
        </is>
      </c>
      <c r="B198" s="7" t="inlineStr">
        <is>
          <t>Сопутствующие, не сухие: Грунтовки</t>
        </is>
      </c>
      <c r="C198" s="7" t="inlineStr">
        <is>
          <t>нет</t>
        </is>
      </c>
      <c r="D198" s="7" t="inlineStr">
        <is>
          <t>Perel Rof</t>
        </is>
      </c>
      <c r="E198" s="7" t="inlineStr">
        <is>
          <t>Perel Rof, 18 кг</t>
        </is>
      </c>
      <c r="F198" s="7" t="n">
        <v>2</v>
      </c>
      <c r="G198" s="7" t="inlineStr">
        <is>
          <t>Применяется для предварительной обработки плотных, не впитывающих влагу поверхностей (монолитного бетона, перекрытий, кафельной плитки) перед нанесением отделочных материалов.</t>
        </is>
      </c>
      <c r="H198" s="7" t="inlineStr">
        <is>
          <t>Пластиковая ведро: 18 кг</t>
        </is>
      </c>
      <c r="I198" s="7" t="inlineStr"/>
      <c r="J198" s="7" t="inlineStr"/>
      <c r="K198" s="7" t="inlineStr"/>
      <c r="L198" s="7" t="inlineStr">
        <is>
          <t>—</t>
        </is>
      </c>
      <c r="M198" s="7" t="inlineStr"/>
      <c r="N198" s="7" t="inlineStr">
        <is>
          <t>https://td-perel.ru/catalog/gruntovka/perel-rof-18-kg/</t>
        </is>
      </c>
      <c r="O198" s="7" t="inlineStr">
        <is>
          <t>Бетон-контакт. Текст совпадает с карточкой Perel Rof 8 кг, кроме фасовки и цены. Расход не указан. Блока «Характеристики» нет.</t>
        </is>
      </c>
    </row>
    <row r="199">
      <c r="A199" s="7" t="inlineStr">
        <is>
          <t>Perel</t>
        </is>
      </c>
      <c r="B199" s="7" t="inlineStr">
        <is>
          <t>Сопутствующие, не сухие: Грунтовки</t>
        </is>
      </c>
      <c r="C199" s="7" t="inlineStr">
        <is>
          <t>нет</t>
        </is>
      </c>
      <c r="D199" s="7" t="inlineStr">
        <is>
          <t>Perel Uniprim</t>
        </is>
      </c>
      <c r="E199" s="7" t="inlineStr">
        <is>
          <t>Perel Uniprim, 10 л</t>
        </is>
      </c>
      <c r="F199" s="7" t="n">
        <v>1</v>
      </c>
      <c r="G199" s="7" t="inlineStr">
        <is>
          <t>Готовая к применению эмульсия полимерного латекса на водной основе для выравнивания и снижения влагопоглощения поверхности, увеличения прочности сцепления между основанием и последующим к нанесению материалом, существенно снижая его расход.</t>
        </is>
      </c>
      <c r="H199" s="7" t="inlineStr">
        <is>
          <t>Пластиковая канистра 10 л</t>
        </is>
      </c>
      <c r="I199" s="7" t="inlineStr"/>
      <c r="J199" s="7" t="inlineStr"/>
      <c r="K199" s="7" t="inlineStr"/>
      <c r="L199" s="7" t="inlineStr">
        <is>
          <t>—</t>
        </is>
      </c>
      <c r="M199" s="7" t="inlineStr"/>
      <c r="N199" s="7" t="inlineStr">
        <is>
          <t>https://td-perel.ru/catalog/gruntovka/perel-uniprim/</t>
        </is>
      </c>
      <c r="O199" s="7" t="inlineStr">
        <is>
          <t>Собственный расход не указан. Морозостойкость в характеристиках — по сути допустимые циклы замораживания при хранении.</t>
        </is>
      </c>
    </row>
    <row r="200">
      <c r="A200" s="7" t="inlineStr">
        <is>
          <t>Основит</t>
        </is>
      </c>
      <c r="B200" s="7" t="inlineStr">
        <is>
          <t>Сопутствующие, не сухие: Грунтовки</t>
        </is>
      </c>
      <c r="C200" s="7" t="inlineStr">
        <is>
          <t>нет</t>
        </is>
      </c>
      <c r="D200" s="7" t="inlineStr">
        <is>
          <t>Основит Univita Studio Primer</t>
        </is>
      </c>
      <c r="E200" s="7" t="inlineStr">
        <is>
          <t>Грунт интерьерный Основит Univita Studio Primer 10 л</t>
        </is>
      </c>
      <c r="F200" s="7" t="n">
        <v>1</v>
      </c>
      <c r="G200" s="7" t="inlineStr">
        <is>
          <t>Интерьерная грунтовка глубокого проникновения Основит Univita Studio PRIMER предназначена для грунтования минеральных поверхностей перед финишной окраской водно-дисперсионными красками в помещениях любого типа.</t>
        </is>
      </c>
      <c r="H200" s="7" t="inlineStr">
        <is>
          <t>10 л</t>
        </is>
      </c>
      <c r="I200" s="7" t="inlineStr">
        <is>
          <t>4–10 м 2 /л</t>
        </is>
      </c>
      <c r="J200" s="7" t="inlineStr"/>
      <c r="K200" s="7" t="inlineStr"/>
      <c r="L200" s="7" t="inlineStr">
        <is>
          <t>—</t>
        </is>
      </c>
      <c r="M200" s="7" t="inlineStr"/>
      <c r="N200" s="7" t="inlineStr">
        <is>
          <t>https://osnovit.ru/catalog/kraski/grunt-interernyy-osnovit-univita-studio-primer/</t>
        </is>
      </c>
      <c r="O200" s="7" t="inlineStr">
        <is>
          <t>Грунт из интерьерной линейки красок Univita Studio (лежит и в «Грунтах», и в «Интерьерных красках»). Явного кода модели нет. Нет кнопок «Купить/Рассчитать».</t>
        </is>
      </c>
    </row>
    <row r="201">
      <c r="A201" s="7" t="inlineStr">
        <is>
          <t>Основит</t>
        </is>
      </c>
      <c r="B201" s="7" t="inlineStr">
        <is>
          <t>Сопутствующие, не сухие: Грунтовки</t>
        </is>
      </c>
      <c r="C201" s="7" t="inlineStr">
        <is>
          <t>нет</t>
        </is>
      </c>
      <c r="D201" s="7" t="inlineStr">
        <is>
          <t>Основит Беттоконт LP55</t>
        </is>
      </c>
      <c r="E201" s="7" t="inlineStr">
        <is>
          <t>Грунт бетоноконтакт Основит Беттоконт LP55</t>
        </is>
      </c>
      <c r="F201" s="7" t="n">
        <v>1</v>
      </c>
      <c r="G201" s="7" t="inlineStr">
        <is>
          <t>Грунт ОСНОВИТ БЕТТОКОНТ LP55 предназначен для предварительной обработки плотных, слабовпитывающих влагу гладких оснований.</t>
        </is>
      </c>
      <c r="H201" s="7" t="inlineStr">
        <is>
          <t>20 кг</t>
        </is>
      </c>
      <c r="I201" s="7" t="inlineStr">
        <is>
          <t>4–5 м 2 /кг</t>
        </is>
      </c>
      <c r="J201" s="7" t="inlineStr"/>
      <c r="K201" s="7" t="inlineStr"/>
      <c r="L201" s="7" t="inlineStr">
        <is>
          <t>—</t>
        </is>
      </c>
      <c r="M201" s="7" t="inlineStr"/>
      <c r="N201" s="7" t="inlineStr">
        <is>
          <t>https://osnovit.ru/catalog/gruntovki/bettokont-lp55/</t>
        </is>
      </c>
      <c r="O201" s="7" t="inlineStr">
        <is>
          <t>Готовый грунт на акриловой дисперсии. Отличается от LP551: наружные работы допускаются, сухой остаток 60–63%, расход 4–5 м²/кг.</t>
        </is>
      </c>
    </row>
    <row r="202">
      <c r="A202" s="7" t="inlineStr">
        <is>
          <t>Основит</t>
        </is>
      </c>
      <c r="B202" s="7" t="inlineStr">
        <is>
          <t>Сопутствующие, не сухие: Грунтовки</t>
        </is>
      </c>
      <c r="C202" s="7" t="inlineStr">
        <is>
          <t>нет</t>
        </is>
      </c>
      <c r="D202" s="7" t="inlineStr">
        <is>
          <t>Основит Беттоконт LP551</t>
        </is>
      </c>
      <c r="E202" s="7" t="inlineStr">
        <is>
          <t>Грунт бетоноконтакт Основит Беттоконт LP551 20 кг</t>
        </is>
      </c>
      <c r="F202" s="7" t="n">
        <v>1</v>
      </c>
      <c r="G202" s="7" t="inlineStr">
        <is>
          <t>Грунт ОСНОВИТ БЕТТОКОНТ LP551 предназначен для предварительной обработки плотных, слабовпитывающих влагу гладких оснований.</t>
        </is>
      </c>
      <c r="H202" s="7" t="inlineStr">
        <is>
          <t>20 кг</t>
        </is>
      </c>
      <c r="I202" s="7" t="inlineStr">
        <is>
          <t>3–4 м 2 /кг</t>
        </is>
      </c>
      <c r="J202" s="7" t="inlineStr"/>
      <c r="K202" s="7" t="inlineStr"/>
      <c r="L202" s="7" t="inlineStr">
        <is>
          <t>—</t>
        </is>
      </c>
      <c r="M202" s="7" t="inlineStr"/>
      <c r="N202" s="7" t="inlineStr">
        <is>
          <t>https://osnovit.ru/catalog/gruntovki/grunt-betonokontakt-osnovit-bettokont-lp551/</t>
        </is>
      </c>
      <c r="O202" s="7" t="inlineStr">
        <is>
          <t>Отдельный товар от LP55 (только внутренние работы, иной сухой остаток и расход). Нет кнопок «Купить/Рассчитать».</t>
        </is>
      </c>
    </row>
    <row r="203">
      <c r="A203" s="7" t="inlineStr">
        <is>
          <t>Основит</t>
        </is>
      </c>
      <c r="B203" s="7" t="inlineStr">
        <is>
          <t>Сопутствующие, не сухие: Грунтовки</t>
        </is>
      </c>
      <c r="C203" s="7" t="inlineStr">
        <is>
          <t>нет</t>
        </is>
      </c>
      <c r="D203" s="7" t="inlineStr">
        <is>
          <t>Основит Дипконт LP53</t>
        </is>
      </c>
      <c r="E203" s="7" t="inlineStr">
        <is>
          <t>Грунт глубокого проникновения Основит Дипконт LP53 5 л</t>
        </is>
      </c>
      <c r="F203" s="7" t="n">
        <v>3</v>
      </c>
      <c r="G203" s="7" t="inlineStr">
        <is>
          <t>Грунт глубокого проникновения ОСНОВИТ ДИПКОНТ LP53 предназначен для предварительной обработки и обеспыливания минеральных оснований. Рекомендуется для упрочнения старых, рыхлых, непрочных, мелящихся и сильновпитывающих оснований.</t>
        </is>
      </c>
      <c r="H203" s="7" t="inlineStr">
        <is>
          <t>1 л</t>
        </is>
      </c>
      <c r="I203" s="7" t="inlineStr">
        <is>
          <t>10–20 м 2 /л</t>
        </is>
      </c>
      <c r="J203" s="7" t="inlineStr"/>
      <c r="K203" s="7" t="inlineStr"/>
      <c r="L203" s="7" t="inlineStr">
        <is>
          <t>—</t>
        </is>
      </c>
      <c r="M203" s="7" t="inlineStr"/>
      <c r="N203" s="7" t="inlineStr">
        <is>
          <t>https://osnovit.ru/catalog/gruntovki/dipkont-lp53-5-l/</t>
        </is>
      </c>
      <c r="O203" s="7" t="inlineStr">
        <is>
          <t>Фасовка 5 л того же продукта, что карточки ...dipkont-lp53-1-l (1 л) и dipkont-t-53 (10 л); тексты совпадают.</t>
        </is>
      </c>
    </row>
    <row r="204">
      <c r="A204" s="7" t="inlineStr">
        <is>
          <t>Основит</t>
        </is>
      </c>
      <c r="B204" s="7" t="inlineStr">
        <is>
          <t>Сопутствующие, не сухие: Грунтовки</t>
        </is>
      </c>
      <c r="C204" s="7" t="inlineStr">
        <is>
          <t>нет</t>
        </is>
      </c>
      <c r="D204" s="7" t="inlineStr">
        <is>
          <t>Основит Интеконт LP50</t>
        </is>
      </c>
      <c r="E204" s="7" t="inlineStr">
        <is>
          <t>Грунт интерьерный Основит Интеконт LP50</t>
        </is>
      </c>
      <c r="F204" s="7" t="n">
        <v>1</v>
      </c>
      <c r="G204" s="7" t="inlineStr">
        <is>
          <t>Интерьерный грунт Основит Интеконт LP50 предназначен для предварительной обработки и обеспыливания минеральных оснований. Применяется для подготовки поверхности под последующее нанесение отделочных материалов: штукатурок, шпаклёвок, плиточных клеёв, лакокрасочных материалов.</t>
        </is>
      </c>
      <c r="H204" s="7" t="inlineStr">
        <is>
          <t>10 л</t>
        </is>
      </c>
      <c r="I204" s="7" t="inlineStr">
        <is>
          <t>5–10 м 2 /л</t>
        </is>
      </c>
      <c r="J204" s="7" t="inlineStr"/>
      <c r="K204" s="7" t="inlineStr"/>
      <c r="L204" s="7" t="inlineStr">
        <is>
          <t>—</t>
        </is>
      </c>
      <c r="M204" s="7" t="inlineStr"/>
      <c r="N204" s="7" t="inlineStr">
        <is>
          <t>https://osnovit.ru/catalog/gruntovki/intekont-t-50/</t>
        </is>
      </c>
      <c r="O204" s="7" t="inlineStr">
        <is>
          <t>Готовый грунт. Адрес содержит старое имя «t-50».</t>
        </is>
      </c>
    </row>
    <row r="205">
      <c r="A205" s="7" t="inlineStr">
        <is>
          <t>Основит</t>
        </is>
      </c>
      <c r="B205" s="7" t="inlineStr">
        <is>
          <t>Сопутствующие, не сухие: Грунтовки</t>
        </is>
      </c>
      <c r="C205" s="7" t="inlineStr">
        <is>
          <t>нет</t>
        </is>
      </c>
      <c r="D205" s="7" t="inlineStr">
        <is>
          <t>Основит Профиконт LP52</t>
        </is>
      </c>
      <c r="E205" s="7" t="inlineStr">
        <is>
          <t>Грунт-концентрат глубокого проникновения Основит Профиконт LP52 1 л</t>
        </is>
      </c>
      <c r="F205" s="7" t="n">
        <v>2</v>
      </c>
      <c r="G205" s="7" t="inlineStr">
        <is>
          <t>Грунт-концентрат глубокого проникновения ОСНОВИТ ПРОФИКОНТ LP52 предназначен для предварительной обработки и обеспыливания минеральных оснований. Применяется для подготовки поверхности под последующее нанесение отделочных материалов: штукатурок, шпаклёвок, стяжек, ровнителей, наливных полов, плиточных клеёв, гидроизоляции, лакокрасочных материалов.</t>
        </is>
      </c>
      <c r="H205" s="7" t="inlineStr">
        <is>
          <t>1 л</t>
        </is>
      </c>
      <c r="I205" s="7" t="inlineStr">
        <is>
          <t>в зависимости от степени разбавления, до 50 м 2 /л</t>
        </is>
      </c>
      <c r="J205" s="7" t="inlineStr"/>
      <c r="K205" s="7" t="inlineStr"/>
      <c r="L205" s="7" t="inlineStr">
        <is>
          <t>—</t>
        </is>
      </c>
      <c r="M205" s="7" t="inlineStr"/>
      <c r="N205" s="7" t="inlineStr">
        <is>
          <t>https://osnovit.ru/catalog/gruntovki/grunt-kontsentrat-osnovit-profikont-lp52-1-l/</t>
        </is>
      </c>
      <c r="O205" s="7" t="inlineStr">
        <is>
          <t>Жидкий концентрат на акриловой дисперсии; на странице таблица пропорций разбавления по основаниям (от 1:2 – 1:3 до 1:8 – 1:10); преимущество «Для системы «Теплый пол»». SKU различаются фасовкой (1 / 10 л). Документы «Описание», «Сертификат», «Техническая карта Профиконт LP52» — без ссылок во входе.</t>
        </is>
      </c>
    </row>
    <row r="206">
      <c r="A206" s="7" t="inlineStr">
        <is>
          <t>Основит</t>
        </is>
      </c>
      <c r="B206" s="7" t="inlineStr">
        <is>
          <t>Сопутствующие, не сухие: Грунтовки</t>
        </is>
      </c>
      <c r="C206" s="7" t="inlineStr">
        <is>
          <t>нет</t>
        </is>
      </c>
      <c r="D206" s="7" t="inlineStr">
        <is>
          <t>Основит Техно Техконт LP58</t>
        </is>
      </c>
      <c r="E206" s="7" t="inlineStr">
        <is>
          <t>Грунт укрывающий Основит Техно Техконт LP58</t>
        </is>
      </c>
      <c r="F206" s="7" t="n">
        <v>1</v>
      </c>
      <c r="G206" s="7" t="inlineStr">
        <is>
          <t>Грунт укрывающий ОСНОВИТ ТЕХНО ТЕХКОНТ LP58 предназначен для подготовки минерального основания, особенно рекомендуется для гипсового основания, для нанесения силикатных красок ОСНОВИТ класса горючести НГ.</t>
        </is>
      </c>
      <c r="H206" s="7" t="inlineStr">
        <is>
          <t>25 кг, 14 кг</t>
        </is>
      </c>
      <c r="I206" s="7" t="inlineStr">
        <is>
          <t>6,5–7 м 2 /кг</t>
        </is>
      </c>
      <c r="J206" s="7" t="inlineStr"/>
      <c r="K206" s="7" t="inlineStr"/>
      <c r="L206" s="7" t="inlineStr">
        <is>
          <t>—</t>
        </is>
      </c>
      <c r="M206" s="7" t="inlineStr"/>
      <c r="N206" s="7" t="inlineStr">
        <is>
          <t>https://osnovit.ru/catalog/kraski/grunt-ukryvayushchiy-osnovit-tekhkont-lp58/</t>
        </is>
      </c>
      <c r="O206" s="7" t="inlineStr">
        <is>
          <t>Готовый белый укрывающий грунт серии ТЕХНО. Внутренние/наружные работы прямо не названы. Две фасовки: 25 и 14 кг.</t>
        </is>
      </c>
    </row>
    <row r="207">
      <c r="A207" s="7" t="inlineStr">
        <is>
          <t>Основит</t>
        </is>
      </c>
      <c r="B207" s="7" t="inlineStr">
        <is>
          <t>Сопутствующие, не сухие: Грунтовки</t>
        </is>
      </c>
      <c r="C207" s="7" t="inlineStr">
        <is>
          <t>нет</t>
        </is>
      </c>
      <c r="D207" s="7" t="inlineStr">
        <is>
          <t>Основит Техно Техконт LSt57</t>
        </is>
      </c>
      <c r="E207" s="7" t="inlineStr">
        <is>
          <t>Грунт силикатный Основит Техно Техконт LSt57</t>
        </is>
      </c>
      <c r="F207" s="7" t="n">
        <v>1</v>
      </c>
      <c r="G207" s="7" t="inlineStr">
        <is>
          <t>Грунт силикатный ОСНОВИТ ТЕХНО ТЕХКОНТ LSt57 предназначен для подготовки минеральных оснований (кроме гипсовых), под нанесение силикатных красок ОСНОВИТ класса горючести НГ.</t>
        </is>
      </c>
      <c r="H207" s="7" t="inlineStr">
        <is>
          <t>20 кг, 10 кг</t>
        </is>
      </c>
      <c r="I207" s="7" t="inlineStr">
        <is>
          <t>6,5–7 м 2 /кг</t>
        </is>
      </c>
      <c r="J207" s="7" t="inlineStr"/>
      <c r="K207" s="7" t="inlineStr"/>
      <c r="L207" s="7" t="inlineStr">
        <is>
          <t>—</t>
        </is>
      </c>
      <c r="M207" s="7" t="inlineStr"/>
      <c r="N207" s="7" t="inlineStr">
        <is>
          <t>https://osnovit.ru/catalog/kraski/grunt-silikatnyy-osnovit-tekhkont-lst57/</t>
        </is>
      </c>
      <c r="O207" s="7" t="inlineStr">
        <is>
          <t>Готовый силикатный грунт серии ТЕХНО, заявлен «Негорючий». Внутренние/наружные работы прямо не названы. Две фасовки: 20 и 10 кг.</t>
        </is>
      </c>
    </row>
    <row r="208">
      <c r="A208" s="7" t="inlineStr">
        <is>
          <t>Основит</t>
        </is>
      </c>
      <c r="B208" s="7" t="inlineStr">
        <is>
          <t>Сопутствующие, не сухие: Грунтовки</t>
        </is>
      </c>
      <c r="C208" s="7" t="inlineStr">
        <is>
          <t>нет</t>
        </is>
      </c>
      <c r="D208" s="7" t="inlineStr">
        <is>
          <t>Основит Унконт Люкс LP51 A</t>
        </is>
      </c>
      <c r="E208" s="7" t="inlineStr">
        <is>
          <t>Грунт универсальный Основит Унконт Люкс LP51 A 1 л</t>
        </is>
      </c>
      <c r="F208" s="7" t="n">
        <v>3</v>
      </c>
      <c r="G208" s="7" t="inlineStr">
        <is>
          <t>предназначен для предварительной обработки и обеспыливания минеральных оснований под последующее нанесение отделочных материалов: гипсовых штукатурок, шпаклёвок, ровнителей, наливных полов, плиточных клеёв, лакокрасочных материалов.</t>
        </is>
      </c>
      <c r="H208" s="7" t="inlineStr">
        <is>
          <t>10 л</t>
        </is>
      </c>
      <c r="I208" s="7" t="inlineStr">
        <is>
          <t>4–10 м 2 /л</t>
        </is>
      </c>
      <c r="J208" s="7" t="inlineStr"/>
      <c r="K208" s="7" t="inlineStr"/>
      <c r="L208" s="7" t="inlineStr">
        <is>
          <t>—</t>
        </is>
      </c>
      <c r="M208" s="7" t="inlineStr"/>
      <c r="N208" s="7" t="inlineStr">
        <is>
          <t>https://osnovit.ru/catalog/gruntovki/grunt-universalnyy-osnovit-unkont-lyuks-lp51-a-1l/</t>
        </is>
      </c>
      <c r="O208" s="7" t="inlineStr">
        <is>
          <t>Жидкий грунт на акриловой дисперсии с антисептическими свойствами; особенно рекомендуется для плиточной облицовки. SKU различаются только фасовкой (1 л / 5 л). На странице есть «Сертификат» и «Техническая карта Унконт LP51 A», но ссылок на PDF во входе нет.</t>
        </is>
      </c>
    </row>
    <row r="209">
      <c r="A209" s="7" t="inlineStr">
        <is>
          <t>Основит</t>
        </is>
      </c>
      <c r="B209" s="7" t="inlineStr">
        <is>
          <t>Сопутствующие, не сухие: Грунтовки</t>
        </is>
      </c>
      <c r="C209" s="7" t="inlineStr">
        <is>
          <t>нет</t>
        </is>
      </c>
      <c r="D209" s="7" t="inlineStr">
        <is>
          <t>Основит Унконт Стандарт LP51</t>
        </is>
      </c>
      <c r="E209" s="7" t="inlineStr">
        <is>
          <t>Грунт универсальный Основит Унконт Стандарт LP51 1 л</t>
        </is>
      </c>
      <c r="F209" s="7" t="n">
        <v>3</v>
      </c>
      <c r="G209" s="7" t="inlineStr">
        <is>
          <t>Грунт Универсальный ОСНОВИТ УНКОНТ LP51 предназначен для предварительной обработки и обеспыливания минеральных оснований. Применяется для подготовки поверхности под последующее нанесение отделочных материалов: гипсовых штукатурок, шпаклёвок, цементных стяжек, плиточных клеёв, лакокрасочных материалов.</t>
        </is>
      </c>
      <c r="H209" s="7" t="inlineStr">
        <is>
          <t>1 л</t>
        </is>
      </c>
      <c r="I209" s="7" t="inlineStr">
        <is>
          <t>4–10 м 2 /л</t>
        </is>
      </c>
      <c r="J209" s="7" t="inlineStr"/>
      <c r="K209" s="7" t="inlineStr"/>
      <c r="L209" s="7" t="inlineStr">
        <is>
          <t>—</t>
        </is>
      </c>
      <c r="M209" s="7" t="inlineStr"/>
      <c r="N209" s="7" t="inlineStr">
        <is>
          <t>https://osnovit.ru/catalog/gruntovki/grunt-universalnyy-osnovit-unkont-standart-lp51-1l/</t>
        </is>
      </c>
      <c r="O209" s="7" t="inlineStr">
        <is>
          <t>Жидкий грунт; особенно рекомендуется для фасадов с утеплением и без; по сильновпитывающим основаниям — только в 2 слоя. SKU различаются фасовкой (1 / 5 / 10 л). Время полного высыхания 1 час (у Люкс LP51 A — 30 минут). PDF-ссылок во входе нет.</t>
        </is>
      </c>
    </row>
    <row r="210">
      <c r="A210" s="7" t="inlineStr">
        <is>
          <t>Основит</t>
        </is>
      </c>
      <c r="B210" s="7" t="inlineStr">
        <is>
          <t>Сопутствующие, не сухие: Грунтовки</t>
        </is>
      </c>
      <c r="C210" s="7" t="inlineStr">
        <is>
          <t>нет</t>
        </is>
      </c>
      <c r="D210" s="7" t="inlineStr">
        <is>
          <t>Основит Экстерконт LP54 W</t>
        </is>
      </c>
      <c r="E210" s="7" t="inlineStr">
        <is>
          <t>Грунт кварцевый белый Основит Экстерконт LP54 W 15 кг</t>
        </is>
      </c>
      <c r="F210" s="7" t="n">
        <v>1</v>
      </c>
      <c r="G210" s="7" t="inlineStr">
        <is>
          <t>Грунт белый кварцевый ОСНОВИТ ЭКСТЕРКОНТ LP54W предназначен для подготовки оснований под нанесения декоративных штукатурок.</t>
        </is>
      </c>
      <c r="H210" s="7" t="inlineStr">
        <is>
          <t>15 кг</t>
        </is>
      </c>
      <c r="I210" s="7" t="inlineStr">
        <is>
          <t>3–4 м 2 /кг</t>
        </is>
      </c>
      <c r="J210" s="7" t="inlineStr"/>
      <c r="K210" s="7" t="inlineStr"/>
      <c r="L210" s="7" t="inlineStr">
        <is>
          <t>—</t>
        </is>
      </c>
      <c r="M210" s="7" t="inlineStr"/>
      <c r="N210" s="7" t="inlineStr">
        <is>
          <t>https://osnovit.ru/catalog/gruntovki/eksterkont-lp54-w/</t>
        </is>
      </c>
      <c r="O210" s="7" t="inlineStr">
        <is>
          <t>Готовый кварцевый грунт, колеруется по ColorChart. Внутренние/наружные работы прямо не названы (рекомендуется в системах теплоизоляции «ОСНОВИТ»).</t>
        </is>
      </c>
    </row>
    <row r="211">
      <c r="A211" s="7" t="inlineStr">
        <is>
          <t>Perel</t>
        </is>
      </c>
      <c r="B211" s="7" t="inlineStr">
        <is>
          <t>Сопутствующие, не сухие: Декоративные штукатурки готовые (пасты)</t>
        </is>
      </c>
      <c r="C211" s="7" t="inlineStr">
        <is>
          <t>нет</t>
        </is>
      </c>
      <c r="D211" s="7" t="inlineStr">
        <is>
          <t>Perel Acrilico короед</t>
        </is>
      </c>
      <c r="E211" s="7" t="inlineStr">
        <is>
          <t>Perel Acrilico, короед 1,5 мм</t>
        </is>
      </c>
      <c r="F211" s="7" t="n">
        <v>3</v>
      </c>
      <c r="G211" s="7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H211" s="7" t="inlineStr">
        <is>
          <t>18кг. Пластиковое ведро.</t>
        </is>
      </c>
      <c r="I211" s="7" t="inlineStr"/>
      <c r="J211" s="7" t="inlineStr"/>
      <c r="K211" s="7" t="inlineStr"/>
      <c r="L211" s="7" t="inlineStr">
        <is>
          <t>—</t>
        </is>
      </c>
      <c r="M211" s="7" t="inlineStr">
        <is>
          <t>По желанию заказчика колеруется в массе согласно каталога Perel или любому другому понравившемуся каталогу.</t>
        </is>
      </c>
      <c r="N211" s="7" t="inlineStr">
        <is>
          <t>https://td-perel.ru/catalog/akrilovaya/perel-acrilico-koroed/</t>
        </is>
      </c>
      <c r="O211" s="7" t="inlineStr">
        <is>
          <t>Фактура «короед», фракция 1,5 мм. Текст карточки слово в слово совпадает с карточками других фракций «короед», отличается только заголовок (цена одинаковая); лид общий на фракции «1,5/2,0/2,5 мм». Блока «Характеристики» нет: расход, толщина слоя и норматив не указаны. «Короед» и «шуба» вынесены в разные series_key (разные фактуры); если на сайте нужна одна карточка Perel Acrilico — склеивать по br</t>
        </is>
      </c>
    </row>
    <row r="212">
      <c r="A212" s="7" t="inlineStr">
        <is>
          <t>Perel</t>
        </is>
      </c>
      <c r="B212" s="7" t="inlineStr">
        <is>
          <t>Сопутствующие, не сухие: Декоративные штукатурки готовые (пасты)</t>
        </is>
      </c>
      <c r="C212" s="7" t="inlineStr">
        <is>
          <t>нет</t>
        </is>
      </c>
      <c r="D212" s="7" t="inlineStr">
        <is>
          <t>Perel Acrilico шуба</t>
        </is>
      </c>
      <c r="E212" s="7" t="inlineStr">
        <is>
          <t>Perel Acrilico, шуба 1,5 мм</t>
        </is>
      </c>
      <c r="F212" s="7" t="n">
        <v>3</v>
      </c>
      <c r="G212" s="7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H212" s="7" t="inlineStr">
        <is>
          <t>18кг. Пластиковое ведро.</t>
        </is>
      </c>
      <c r="I212" s="7" t="inlineStr"/>
      <c r="J212" s="7" t="inlineStr"/>
      <c r="K212" s="7" t="inlineStr"/>
      <c r="L212" s="7" t="inlineStr">
        <is>
          <t>—</t>
        </is>
      </c>
      <c r="M212" s="7" t="inlineStr">
        <is>
          <t>По желанию заказчика колеруется в массе согласно каталога Perel или любому другому понравившемуся каталогу.</t>
        </is>
      </c>
      <c r="N212" s="7" t="inlineStr">
        <is>
          <t>https://td-perel.ru/catalog/akrilovaya/perel-acrilico-shuba/</t>
        </is>
      </c>
      <c r="O212" s="7" t="inlineStr">
        <is>
          <t>Фактура «шуба» («однородно-шероховатой структурой»), фракция 1,5 мм. Текст карточки слово в слово совпадает с карточками фракций 2 и 2,5 мм. От «короеда» отличается только фразой о структуре и отсутствием фразы «Взрывопожаробезопасно, нетоксично, экологически чистый продукт». Блока «Характеристики» нет: расход и норматив не указаны.</t>
        </is>
      </c>
    </row>
    <row r="213">
      <c r="A213" s="7" t="inlineStr">
        <is>
          <t>Perel</t>
        </is>
      </c>
      <c r="B213" s="7" t="inlineStr">
        <is>
          <t>Сопутствующие, не сухие: Декоративные штукатурки готовые (пасты)</t>
        </is>
      </c>
      <c r="C213" s="7" t="inlineStr">
        <is>
          <t>нет</t>
        </is>
      </c>
      <c r="D213" s="7" t="inlineStr">
        <is>
          <t>Perel Silicio короед</t>
        </is>
      </c>
      <c r="E213" s="7" t="inlineStr">
        <is>
          <t>Perel Silicio, короед 1,5 мм</t>
        </is>
      </c>
      <c r="F213" s="7" t="n">
        <v>3</v>
      </c>
      <c r="G213" s="7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H213" s="7" t="inlineStr">
        <is>
          <t>18кг. Пластиковое ведро.</t>
        </is>
      </c>
      <c r="I213" s="7" t="inlineStr"/>
      <c r="J213" s="7" t="inlineStr"/>
      <c r="K213" s="7" t="inlineStr">
        <is>
          <t>трудногорючим материалом класса В</t>
        </is>
      </c>
      <c r="L213" s="7" t="inlineStr">
        <is>
          <t>—</t>
        </is>
      </c>
      <c r="M213" s="7" t="inlineStr">
        <is>
          <t>По желанию заказчика колеруется в массе согласно каталога Perel или любому другому понравившемуся каталогу.</t>
        </is>
      </c>
      <c r="N213" s="7" t="inlineStr">
        <is>
          <t>https://td-perel.ru/catalog/silikonovaya/perel-silicio-koroed/</t>
        </is>
      </c>
      <c r="O213" s="7" t="inlineStr">
        <is>
          <t>Блока характеристик и артикула на странице нет; расход не указан. Текст всех шести карточек Silicio (короед и шуба 1,5/2/2,5 мм) одинаков, отличается только заголовок; цена одинакова. Рекомендуется с кварц-грунтом Perel Quarzo.</t>
        </is>
      </c>
    </row>
    <row r="214">
      <c r="A214" s="7" t="inlineStr">
        <is>
          <t>Perel</t>
        </is>
      </c>
      <c r="B214" s="7" t="inlineStr">
        <is>
          <t>Сопутствующие, не сухие: Декоративные штукатурки готовые (пасты)</t>
        </is>
      </c>
      <c r="C214" s="7" t="inlineStr">
        <is>
          <t>нет</t>
        </is>
      </c>
      <c r="D214" s="7" t="inlineStr">
        <is>
          <t>Perel Silicio шуба</t>
        </is>
      </c>
      <c r="E214" s="7" t="inlineStr">
        <is>
          <t>Perel Silicio, шуба 1,5 мм</t>
        </is>
      </c>
      <c r="F214" s="7" t="n">
        <v>3</v>
      </c>
      <c r="G214" s="7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H214" s="7" t="inlineStr">
        <is>
          <t>18кг. Пластиковое ведро.</t>
        </is>
      </c>
      <c r="I214" s="7" t="inlineStr"/>
      <c r="J214" s="7" t="inlineStr"/>
      <c r="K214" s="7" t="inlineStr">
        <is>
          <t>трудногорючим материалом класса В</t>
        </is>
      </c>
      <c r="L214" s="7" t="inlineStr">
        <is>
          <t>—</t>
        </is>
      </c>
      <c r="M214" s="7" t="inlineStr">
        <is>
          <t>По желанию заказчика колеруется в массе согласно каталога Perel или любому другому понравившемуся каталогу.</t>
        </is>
      </c>
      <c r="N214" s="7" t="inlineStr">
        <is>
          <t>https://td-perel.ru/catalog/silikonovaya/perel-silicio-shuba/</t>
        </is>
      </c>
      <c r="O214" s="7" t="inlineStr">
        <is>
          <t>Текст карточки шубы слово в слово совпадает с короедом, включая «бороздчато-терочную структуру» (это фактура короеда); своего описания шубы у производителя нет — при сборке не выдавать это за описание шубы. Блока характеристик, артикула и расхода нет.</t>
        </is>
      </c>
    </row>
    <row r="215">
      <c r="A215" s="7" t="inlineStr">
        <is>
          <t>Основит</t>
        </is>
      </c>
      <c r="B215" s="7" t="inlineStr">
        <is>
          <t>Сопутствующие, не сухие: Декоративные штукатурки готовые (пасты)</t>
        </is>
      </c>
      <c r="C215" s="7" t="inlineStr">
        <is>
          <t>нет</t>
        </is>
      </c>
      <c r="D215" s="7" t="inlineStr">
        <is>
          <t>Основит Экстервэлл OSl шуба</t>
        </is>
      </c>
      <c r="E215" s="7" t="inlineStr">
        <is>
          <t>Штукатурка декоративная силиконовая шуба супербелая Основит Экстервэлл ОSl</t>
        </is>
      </c>
      <c r="F215" s="7" t="n">
        <v>1</v>
      </c>
      <c r="G215" s="7" t="inlineStr">
        <is>
          <t>Готовая к применению штукатурка декоративная силиконовая Основит Экстервэлл ОSl фактура «шуба»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H215" s="7" t="inlineStr">
        <is>
          <t>15кг/25кг</t>
        </is>
      </c>
      <c r="I215" s="7" t="inlineStr">
        <is>
          <t>Расход на 1 м 2
Шуба
OSI 1.5 WS
1.5 мм
1,5 мм
2,5 кг
Шуба
OSI 2.0 WS
2.0 мм
2.0 мм
3,5 кг</t>
        </is>
      </c>
      <c r="J215" s="7" t="inlineStr"/>
      <c r="K215" s="7" t="inlineStr"/>
      <c r="L215" s="7" t="inlineStr">
        <is>
          <t>—</t>
        </is>
      </c>
      <c r="M215" s="7" t="inlineStr">
        <is>
          <t>Колеруется согласно системам Osnovit ColorChart, NCS, RAL</t>
        </is>
      </c>
      <c r="N215" s="7" t="inlineStr">
        <is>
          <t>https://osnovit.ru/catalog/dekorativnye-shtukaturki/ekstervell-osl-shuba/</t>
        </is>
      </c>
      <c r="O215" s="7" t="inlineStr">
        <is>
          <t>Готовая силиконовая паста-база под колеровку (в отличие от минеральной сухой Экстервэлл шуба в карточках 1–6). Расход по таблице: код OSI 1.5 WS (слой 1,5 мм) — 2,5 кг/м², OSI 2.0 WS (слой 2.0 мм) — 3,5 кг/м². На странице есть пункт «Техническая карта», но ссылка в pdfs не попала. В h1 «ОSl» набрано смешанными буквами (кириллическая О + латиница). Фактуру (шуба) включил в series_key, т.к. короед —</t>
        </is>
      </c>
    </row>
    <row r="216">
      <c r="A216" s="7" t="inlineStr">
        <is>
          <t>Основит</t>
        </is>
      </c>
      <c r="B216" s="7" t="inlineStr">
        <is>
          <t>Сопутствующие, не сухие: Декоративные штукатурки готовые (пасты)</t>
        </is>
      </c>
      <c r="C216" s="7" t="inlineStr">
        <is>
          <t>нет</t>
        </is>
      </c>
      <c r="D216" s="7" t="inlineStr">
        <is>
          <t>Основит Экстервэлл ОSl короед</t>
        </is>
      </c>
      <c r="E216" s="7" t="inlineStr">
        <is>
          <t>Штукатурка декоративная силиконовая короед супербелая Основит Экстервэлл ОSl</t>
        </is>
      </c>
      <c r="F216" s="7" t="n">
        <v>2</v>
      </c>
      <c r="G216" s="7" t="inlineStr">
        <is>
          <t>Готовая к применению штукатурка декоративная силиконовая ОСНОВИТ ЭКСТЕРВЭЛЛ ОSl фактура «короед»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H216" s="7" t="inlineStr">
        <is>
          <t>15кг/25кг</t>
        </is>
      </c>
      <c r="I216" s="7" t="inlineStr">
        <is>
          <t>Короед
OSl 2.0 WK
2.0 мм
2 мм
2,7 кг
Короед
OSl 3.0 WK
3.0 мм
3 мм
3,6 кг</t>
        </is>
      </c>
      <c r="J216" s="7" t="inlineStr"/>
      <c r="K216" s="7" t="inlineStr"/>
      <c r="L216" s="7" t="inlineStr">
        <is>
          <t>—</t>
        </is>
      </c>
      <c r="M216" s="7" t="inlineStr">
        <is>
          <t>Колеруется согласно системам Osnovit ColorChart, NCS, RAL</t>
        </is>
      </c>
      <c r="N216" s="7" t="inlineStr">
        <is>
          <t>https://osnovit.ru/catalog/dekorativnye-shtukaturki/ekstervell-osl-koroed/</t>
        </is>
      </c>
      <c r="O216" s="7" t="inlineStr">
        <is>
          <t>Силиконовая паста, «короед», супербелая; строки «Цвет» нет. Капс «ОСНОВИТ ЭКСТЕРВЭЛЛ» в назначении. Фасовка «15кг/25кг» — в названии вес не указан. consumption_quote — фрагмент таблицы расхода. ГОСТ/ТУ в тексте нет. Ссылок на PDF во входе нет.</t>
        </is>
      </c>
    </row>
    <row r="217">
      <c r="A217" s="7" t="inlineStr">
        <is>
          <t>Основит</t>
        </is>
      </c>
      <c r="B217" s="7" t="inlineStr">
        <is>
          <t>Сопутствующие, не сухие: Декоративные штукатурки готовые (пасты)</t>
        </is>
      </c>
      <c r="C217" s="7" t="inlineStr">
        <is>
          <t>нет</t>
        </is>
      </c>
      <c r="D217" s="7" t="inlineStr">
        <is>
          <t>Основит Экстервэлл ОSl шуба</t>
        </is>
      </c>
      <c r="E217" s="7" t="inlineStr">
        <is>
          <t>Штукатурка декоративная силиконовая шуба колерованная Основит Экстервэлл ОSl</t>
        </is>
      </c>
      <c r="F217" s="7" t="n">
        <v>1</v>
      </c>
      <c r="G217" s="7" t="inlineStr">
        <is>
          <t>Готовая к применению штукатурка декоративная силиконовая Основит Экстервэлл ОSl фактура «шуба»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H217" s="7" t="inlineStr">
        <is>
          <t>15кг/25кг</t>
        </is>
      </c>
      <c r="I217" s="7" t="inlineStr">
        <is>
          <t>Шуба
OSI 1.5 WS
1.5 мм
1,5 мм
2,5 кг
Шуба
OSI 2.0 WS
2.0 мм
2.0 мм
3,5 кг</t>
        </is>
      </c>
      <c r="J217" s="7" t="inlineStr"/>
      <c r="K217" s="7" t="inlineStr"/>
      <c r="L217" s="7" t="inlineStr">
        <is>
          <t>—</t>
        </is>
      </c>
      <c r="M217" s="7" t="inlineStr">
        <is>
          <t>Колеруется согласно системам Osnovit ColorChart, NCS, RAL</t>
        </is>
      </c>
      <c r="N217" s="7" t="inlineStr">
        <is>
          <t>https://osnovit.ru/catalog/dekorativnye-shtukaturki/ekstervell-osl-shuba-color/</t>
        </is>
      </c>
      <c r="O217" s="7" t="inlineStr">
        <is>
          <t>Силиконовая паста, «шуба» 1.5 и 2.0 мм; в таблице код написан «OSI 1.5 WS» / «OSI 2.0 WS» (заглавная I вместо l). Метка «Колеровка» у заголовка есть. Супербелой силиконовой шубы в пачке нет. Фасовка «15кг/25кг» — в названии вес не указан. consumption_quote — фрагмент таблицы расхода. ГОСТ/ТУ в тексте нет. Ссылок на PDF во входе нет.</t>
        </is>
      </c>
    </row>
    <row r="218">
      <c r="A218" s="7" t="inlineStr">
        <is>
          <t>Основит</t>
        </is>
      </c>
      <c r="B218" s="7" t="inlineStr">
        <is>
          <t>Сопутствующие, не сухие: Декоративные штукатурки готовые (пасты)</t>
        </is>
      </c>
      <c r="C218" s="7" t="inlineStr">
        <is>
          <t>нет</t>
        </is>
      </c>
      <c r="D218" s="7" t="inlineStr">
        <is>
          <t>Основит Экстервэлл ОSs короед</t>
        </is>
      </c>
      <c r="E218" s="7" t="inlineStr">
        <is>
          <t>Штукатурка декоративная силикатно-силиконовая короед колерованная Основит Экстервэлл ОSs</t>
        </is>
      </c>
      <c r="F218" s="7" t="n">
        <v>2</v>
      </c>
      <c r="G218" s="7" t="inlineStr">
        <is>
          <t>Готовая к применению штукатурка декоративная силикатно-силиконовая Основит Экстервэлл ОSs фактура «короед»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H218" s="7" t="inlineStr">
        <is>
          <t>15кг/25кг</t>
        </is>
      </c>
      <c r="I218" s="7" t="inlineStr">
        <is>
          <t>Короед
OSs 2.0 WK
2.0 мм
2 мм
2,7 кг
Короед
OSs 3.0 WK
3.0 мм
3 мм
3,6 кг</t>
        </is>
      </c>
      <c r="J218" s="7" t="inlineStr"/>
      <c r="K218" s="7" t="inlineStr"/>
      <c r="L218" s="7" t="inlineStr">
        <is>
          <t>—</t>
        </is>
      </c>
      <c r="M218" s="7" t="inlineStr">
        <is>
          <t>Колеруется согласно системам Osnovit ColorChart, NCS, RAL</t>
        </is>
      </c>
      <c r="N218" s="7" t="inlineStr">
        <is>
          <t>https://osnovit.ru/catalog/dekorativnye-shtukaturki/ekstervell-oss-koroed/</t>
        </is>
      </c>
      <c r="O218" s="7" t="inlineStr">
        <is>
          <t>Силикатно-силиконовая паста, «короед» 2.0 и 3.0 мм (OSs 2.0 WK / OSs 3.0 WK), водо- и грязеотталкивающая. Фасовка «15кг/25кг» — в названии вес не указан. consumption_quote — фрагмент таблицы расхода. ГОСТ/ТУ в тексте нет. Ссылок на PDF во входе нет.</t>
        </is>
      </c>
    </row>
    <row r="219">
      <c r="A219" s="7" t="inlineStr">
        <is>
          <t>Основит</t>
        </is>
      </c>
      <c r="B219" s="7" t="inlineStr">
        <is>
          <t>Сопутствующие, не сухие: Декоративные штукатурки готовые (пасты)</t>
        </is>
      </c>
      <c r="C219" s="7" t="inlineStr">
        <is>
          <t>нет</t>
        </is>
      </c>
      <c r="D219" s="7" t="inlineStr">
        <is>
          <t>Основит Экстервэлл ОSs шуба</t>
        </is>
      </c>
      <c r="E219" s="7" t="inlineStr">
        <is>
          <t>Штукатурка декоративная силикатно-силиконовая шуба колерованная Основит Экстервэлл ОSs</t>
        </is>
      </c>
      <c r="F219" s="7" t="n">
        <v>2</v>
      </c>
      <c r="G219" s="7" t="inlineStr">
        <is>
          <t>Готовая к применению штукатурка декоративная силикатно-силиконовая Основит Экстервэлл ОSs фактура «шуба»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H219" s="7" t="inlineStr">
        <is>
          <t>15кг/25кг</t>
        </is>
      </c>
      <c r="I219" s="7" t="inlineStr">
        <is>
          <t>Шуба
OSs 1.5 WS
1.5 мм
1,5 мм
2,5 кг
Шуба
OSs 2.0 WS
2.0 мм
2.0 мм
3,5 кг</t>
        </is>
      </c>
      <c r="J219" s="7" t="inlineStr"/>
      <c r="K219" s="7" t="inlineStr"/>
      <c r="L219" s="7" t="inlineStr">
        <is>
          <t>—</t>
        </is>
      </c>
      <c r="M219" s="7" t="inlineStr">
        <is>
          <t>Колеруется согласно системам Osnovit ColorChart, NCS, RAL</t>
        </is>
      </c>
      <c r="N219" s="7" t="inlineStr">
        <is>
          <t>https://osnovit.ru/catalog/dekorativnye-shtukaturki/ekstervell-oss-shuba/</t>
        </is>
      </c>
      <c r="O219" s="7" t="inlineStr">
        <is>
          <t>Силикатно-силиконовая паста, «шуба» 1.5 и 2.0 мм (OSs 1.5 WS / OSs 2.0 WS). Метка «Колеровка» у заголовка есть. Фасовка «15кг/25кг» — в названии вес не указан. consumption_quote — фрагмент таблицы расхода. ГОСТ/ТУ в тексте нет. Ссылок на PDF во входе нет.</t>
        </is>
      </c>
    </row>
    <row r="220">
      <c r="A220" s="7" t="inlineStr">
        <is>
          <t>Основит</t>
        </is>
      </c>
      <c r="B220" s="7" t="inlineStr">
        <is>
          <t>Сопутствующие, не сухие: Декоративные штукатурки готовые (пасты)</t>
        </is>
      </c>
      <c r="C220" s="7" t="inlineStr">
        <is>
          <t>нет</t>
        </is>
      </c>
      <c r="D220" s="7" t="inlineStr">
        <is>
          <t>Основит Экстервэлл ОSt короед</t>
        </is>
      </c>
      <c r="E220" s="7" t="inlineStr">
        <is>
          <t>Штукатурка декоративная силикатная короед супербелая Основит Экстервэлл ОSt</t>
        </is>
      </c>
      <c r="F220" s="7" t="n">
        <v>2</v>
      </c>
      <c r="G220" s="7" t="inlineStr">
        <is>
          <t>Готовая к применению штукатурка декоративная силикатная Основит Экстервэлл ОSt фактура «Короед»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H220" s="7" t="inlineStr">
        <is>
          <t>15кг/25кг</t>
        </is>
      </c>
      <c r="I220" s="7" t="inlineStr">
        <is>
          <t>Короед
OSt 2.0 WK
2.0 мм
2 мм
2,7 кг
Короед
OSt 3.0 WK
3.0 мм
3 мм
3,6 кг</t>
        </is>
      </c>
      <c r="J220" s="7" t="inlineStr"/>
      <c r="K220" s="7" t="inlineStr"/>
      <c r="L220" s="7" t="inlineStr">
        <is>
          <t>—</t>
        </is>
      </c>
      <c r="M220" s="7" t="inlineStr">
        <is>
          <t>Колеруется согласно системам Osnovit ColorChart, NCS, RAL</t>
        </is>
      </c>
      <c r="N220" s="7" t="inlineStr">
        <is>
          <t>https://osnovit.ru/catalog/dekorativnye-shtukaturki/ekstervell-ost-koroed/</t>
        </is>
      </c>
      <c r="O220" s="7" t="inlineStr">
        <is>
          <t>Силикатная паста, «короед», супербелая; строки «Цвет» в характеристиках нет, текст совпадает с колерованной кроме названия и метки. Фасовка «15кг/25кг» — в названии вес не указан. consumption_quote — фрагмент таблицы расхода. ГОСТ/ТУ в тексте нет. Ссылок на PDF во входе нет.</t>
        </is>
      </c>
    </row>
    <row r="221">
      <c r="A221" s="7" t="inlineStr">
        <is>
          <t>Основит</t>
        </is>
      </c>
      <c r="B221" s="7" t="inlineStr">
        <is>
          <t>Сопутствующие, не сухие: Декоративные штукатурки готовые (пасты)</t>
        </is>
      </c>
      <c r="C221" s="7" t="inlineStr">
        <is>
          <t>нет</t>
        </is>
      </c>
      <c r="D221" s="7" t="inlineStr">
        <is>
          <t>Основит Экстервэлл ОSt шуба</t>
        </is>
      </c>
      <c r="E221" s="7" t="inlineStr">
        <is>
          <t>Штукатурка декоративная силикатная шуба супербелая Основит Экстервэлл ОSt</t>
        </is>
      </c>
      <c r="F221" s="7" t="n">
        <v>2</v>
      </c>
      <c r="G221" s="7" t="inlineStr">
        <is>
          <t>Готовая к применению штукатурка декоративная силикатная Основит Экстервэлл ОSt фактура «Шуба»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H221" s="7" t="inlineStr">
        <is>
          <t>15кг/25кг</t>
        </is>
      </c>
      <c r="I221" s="7" t="inlineStr">
        <is>
          <t>Шуба
OSt 1.5 WS
1.5 мм
1,5 мм
2,5 кг
Шуба
OSt 2.0 WS
2.0 мм
2.0 мм
3,5 кг</t>
        </is>
      </c>
      <c r="J221" s="7" t="inlineStr"/>
      <c r="K221" s="7" t="inlineStr"/>
      <c r="L221" s="7" t="inlineStr">
        <is>
          <t>—</t>
        </is>
      </c>
      <c r="M221" s="7" t="inlineStr">
        <is>
          <t>Колеруется согласно системам Osnovit ColorChart, NCS, RAL</t>
        </is>
      </c>
      <c r="N221" s="7" t="inlineStr">
        <is>
          <t>https://osnovit.ru/catalog/dekorativnye-shtukaturki/ekstervell-ost-shuba/</t>
        </is>
      </c>
      <c r="O221" s="7" t="inlineStr">
        <is>
          <t>Силикатная паста, «шуба» 1.5 и 2.0 мм, супербелая; строки «Цвет» нет. На странице обрывок «о высыхания раствора.» (дубль фразы). Фасовка «15кг/25кг» — в названии вес не указан. consumption_quote — фрагмент таблицы расхода. ГОСТ/ТУ в тексте нет. Ссылок на PDF во входе нет.</t>
        </is>
      </c>
    </row>
    <row r="222">
      <c r="A222" s="7" t="inlineStr">
        <is>
          <t>Основит</t>
        </is>
      </c>
      <c r="B222" s="7" t="inlineStr">
        <is>
          <t>Сопутствующие, не сухие: Декоративные штукатурки готовые (пасты)</t>
        </is>
      </c>
      <c r="C222" s="7" t="inlineStr">
        <is>
          <t>нет</t>
        </is>
      </c>
      <c r="D222" s="7" t="inlineStr">
        <is>
          <t>Основит Экстервэлл ОАc короед</t>
        </is>
      </c>
      <c r="E222" s="7" t="inlineStr">
        <is>
          <t>Штукатурка декоративная акриловая короед колерованная Основит Экстервэлл ОАc</t>
        </is>
      </c>
      <c r="F222" s="7" t="n">
        <v>2</v>
      </c>
      <c r="G222" s="7" t="inlineStr">
        <is>
          <t>Готовая к применению штукатурка декоративная Основит Экстервэлл фактура “короед”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H222" s="7" t="inlineStr">
        <is>
          <t>15кг/25кг</t>
        </is>
      </c>
      <c r="I222" s="7" t="inlineStr">
        <is>
          <t>Короед
OAc 2.0 WK
2.0 мм
2 мм
2,7 кг
Короед
OAc 3.0 WK
3.0 мм
3 мм
3,6 кг</t>
        </is>
      </c>
      <c r="J222" s="7" t="inlineStr"/>
      <c r="K222" s="7" t="inlineStr"/>
      <c r="L222" s="7" t="inlineStr">
        <is>
          <t>—</t>
        </is>
      </c>
      <c r="M222" s="7" t="inlineStr">
        <is>
          <t>Колеруется согласно системам Osnovit ColorChart, NCS, RAL</t>
        </is>
      </c>
      <c r="N222" s="7" t="inlineStr">
        <is>
          <t>https://osnovit.ru/catalog/dekorativnye-shtukaturki/ekstervell-oas-koroed/</t>
        </is>
      </c>
      <c r="O222" s="7" t="inlineStr">
        <is>
          <t>Акриловая паста, фактура «короед» 2.0 и 3.0 мм (коды OAc 2.0 WK / OAc 3.0 WK). Метка «Колеровка» у заголовка — признак колеруемой версии. Под таблицей расхода в тексте висит лишняя «5». Фасовка «15кг/25кг» — в названии вес не указан. consumption_quote — фрагмент таблицы «Фактура / Код / Фракция наполнителя / Слой / Расход на 1 м 2» (строки подряд через перевод строки). ГОСТ/ТУ в тексте нет. Ссылок</t>
        </is>
      </c>
    </row>
    <row r="223">
      <c r="A223" s="7" t="inlineStr">
        <is>
          <t>Основит</t>
        </is>
      </c>
      <c r="B223" s="7" t="inlineStr">
        <is>
          <t>Сопутствующие, не сухие: Декоративные штукатурки готовые (пасты)</t>
        </is>
      </c>
      <c r="C223" s="7" t="inlineStr">
        <is>
          <t>нет</t>
        </is>
      </c>
      <c r="D223" s="7" t="inlineStr">
        <is>
          <t>Основит Экстервэлл ОАc шуба</t>
        </is>
      </c>
      <c r="E223" s="7" t="inlineStr">
        <is>
          <t>Штукатурка декоративная акриловая шуба супербелая Основит Экстервэлл ОАc</t>
        </is>
      </c>
      <c r="F223" s="7" t="n">
        <v>2</v>
      </c>
      <c r="G223" s="7" t="inlineStr">
        <is>
          <t>Готовая к применению штукатурка декоративная Основит Экстервэлл фактура “Шуба”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H223" s="7" t="inlineStr">
        <is>
          <t>15кг/25кг</t>
        </is>
      </c>
      <c r="I223" s="7" t="inlineStr">
        <is>
          <t>Шуба
OAc 1.5 WS
1.5 мм
1,5 мм
2,5 кг
Шуба
OAc 2.0 WS
2.0 мм
2 мм
3,5 кг</t>
        </is>
      </c>
      <c r="J223" s="7" t="inlineStr"/>
      <c r="K223" s="7" t="inlineStr"/>
      <c r="L223" s="7" t="inlineStr">
        <is>
          <t>—</t>
        </is>
      </c>
      <c r="M223" s="7" t="inlineStr">
        <is>
          <t>Колеруется согласно системам Osnovit ColorChart, NCS, RAL</t>
        </is>
      </c>
      <c r="N223" s="7" t="inlineStr">
        <is>
          <t>https://osnovit.ru/catalog/dekorativnye-shtukaturki/ekstervell-oas-shuba/</t>
        </is>
      </c>
      <c r="O223" s="7" t="inlineStr">
        <is>
          <t>Заголовок совпадает с карточкой osnovit__catalog__dekorativnye-shtukaturki__ekstervell-oas-shuba4976, но у этой есть метка «Колеровка» и нет строки «Цвет супербелый», а в «Документации» есть «Инструкция Экстервэлл ОАС Шуба». По аналогии с парами OSt/OSs/OSl скорее всего это колерованная шуба ОАc с неверным h1 — уточнить по сайту. Фактура «шуба» 1.5 и 2.0 мм (OAc 1.5 WS / OAc 2.0 WS). Фасовка «15кг</t>
        </is>
      </c>
    </row>
    <row r="224">
      <c r="A224" s="7" t="inlineStr">
        <is>
          <t>Perel</t>
        </is>
      </c>
      <c r="B224" s="7" t="inlineStr">
        <is>
          <t>Сопутствующие, не сухие: Добавки в растворы</t>
        </is>
      </c>
      <c r="C224" s="7" t="inlineStr">
        <is>
          <t>нет</t>
        </is>
      </c>
      <c r="D224" s="7" t="inlineStr">
        <is>
          <t>Perel No Frost</t>
        </is>
      </c>
      <c r="E224" s="7" t="inlineStr">
        <is>
          <t>Perel No Frost, 1 л</t>
        </is>
      </c>
      <c r="F224" s="7" t="n">
        <v>2</v>
      </c>
      <c r="G224" s="7" t="inlineStr">
        <is>
          <t>Добавка Perel NoFrost понижает температуру кристаллизации воды затворения, а следовательно и температуру замерзания строительного раствора.</t>
        </is>
      </c>
      <c r="H224" s="7" t="inlineStr">
        <is>
          <t>Канистра 1 л</t>
        </is>
      </c>
      <c r="I224" s="7" t="inlineStr"/>
      <c r="J224" s="7" t="inlineStr"/>
      <c r="K224" s="7" t="inlineStr"/>
      <c r="L224" s="7" t="inlineStr">
        <is>
          <t>—</t>
        </is>
      </c>
      <c r="M224" s="7" t="inlineStr"/>
      <c r="N224" s="7" t="inlineStr">
        <is>
          <t>https://td-perel.ru/catalog/protivomoroznaya-dobavka/perel-no-frost-1-l/</t>
        </is>
      </c>
      <c r="O224" s="7" t="inlineStr">
        <is>
          <t>Противоморозная добавка (жидкость в канистре), не сухая смесь; «Является противоморозной добавкой до -15°С». Артикул 5555 одинаков у канистр 1 л и 10 л. Дозировка не указана («с требуемым по инструкции количеством воды»). winter_version=not_stated: это не зимняя модификация смеси, а отдельная добавка для зимних работ.</t>
        </is>
      </c>
    </row>
    <row r="225">
      <c r="A225" s="7" t="inlineStr">
        <is>
          <t>Perel</t>
        </is>
      </c>
      <c r="B225" s="7" t="inlineStr">
        <is>
          <t>Сопутствующие, не сухие: Добавки в растворы</t>
        </is>
      </c>
      <c r="C225" s="7" t="inlineStr">
        <is>
          <t>нет</t>
        </is>
      </c>
      <c r="D225" s="7" t="inlineStr">
        <is>
          <t>Perel RodStone Шов-литой Компонент C</t>
        </is>
      </c>
      <c r="E225" s="7" t="inlineStr">
        <is>
          <t>Perel RodStone Шов-литой Компонент «C», 1 л</t>
        </is>
      </c>
      <c r="F225" s="7" t="n">
        <v>1</v>
      </c>
      <c r="G225" s="7" t="inlineStr">
        <is>
          <t>специальный водный раствор ускоряющих добавок для использования совместно с сухой смесью «Шов-литой» при заполнении швов брусчатки.</t>
        </is>
      </c>
      <c r="H225" s="7" t="inlineStr">
        <is>
          <t>Компонент С: 1 литр – пластиковая канистра.</t>
        </is>
      </c>
      <c r="I225" s="7" t="inlineStr">
        <is>
          <t>1 канистра (1 л) на 1 мешок сухой смеси 25 кг.</t>
        </is>
      </c>
      <c r="J225" s="7" t="inlineStr"/>
      <c r="K225" s="7" t="inlineStr"/>
      <c r="L225" s="7" t="inlineStr">
        <is>
          <t>—</t>
        </is>
      </c>
      <c r="M225" s="7" t="inlineStr"/>
      <c r="N225" s="7" t="inlineStr">
        <is>
          <t>https://td-perel.ru/catalog/vodonepronitsaemaya/perel-rodstone-shov-litoy-komponent-c/</t>
        </is>
      </c>
      <c r="O225" s="7" t="inlineStr">
        <is>
          <t>Жидкий компонент системы RodStone Шов-литой, продаётся отдельно; цветные карточки Шов-литой уже идут комплектом «25 кг + 1 л». В заголовке буква «C» латиницей, в тексте «С» кириллицей. Тип additive условно (компонент-ускоритель к затирке брусчатки).</t>
        </is>
      </c>
    </row>
    <row r="226">
      <c r="A226" s="7" t="inlineStr">
        <is>
          <t>Perel</t>
        </is>
      </c>
      <c r="B226" s="7" t="inlineStr">
        <is>
          <t>Сопутствующие, не сухие: Добавки в растворы</t>
        </is>
      </c>
      <c r="C226" s="7" t="inlineStr">
        <is>
          <t>нет</t>
        </is>
      </c>
      <c r="D226" s="7" t="inlineStr">
        <is>
          <t>Perel RodStone Шов-фильтр Компонент B</t>
        </is>
      </c>
      <c r="E226" s="7" t="inlineStr">
        <is>
          <t>Perel RodStone Шов-фильтр Компонент «B», 1.8 л</t>
        </is>
      </c>
      <c r="F226" s="7" t="n">
        <v>1</v>
      </c>
      <c r="G226" s="7" t="inlineStr">
        <is>
          <t>специальная водная эмульсия полимерного латекса для приготовления раствора с сухой смесью Perel RodStone «Шов-фильтр» при заполнении швов брусчатки. Предназначен для формирования пор и эластичных водостойких связей в затвердевшем растворе.</t>
        </is>
      </c>
      <c r="H226" s="7" t="inlineStr">
        <is>
          <t>Компонент В: 1,8 литра – пластиковое ведро.</t>
        </is>
      </c>
      <c r="I226" s="7" t="inlineStr">
        <is>
          <t>1 ведро (1,8 л) на 1 мешок сухой смеси 25 кг.</t>
        </is>
      </c>
      <c r="J226" s="7" t="inlineStr"/>
      <c r="K226" s="7" t="inlineStr"/>
      <c r="L226" s="7" t="inlineStr">
        <is>
          <t>—</t>
        </is>
      </c>
      <c r="M226" s="7" t="inlineStr"/>
      <c r="N226" s="7" t="inlineStr">
        <is>
          <t>https://td-perel.ru/catalog/vodopronitsaemaya/rodstone-shov-filtr-komponent-b/</t>
        </is>
      </c>
      <c r="O226" s="7" t="inlineStr">
        <is>
          <t>Жидкий компонент системы RodStone Шов-фильтр. В заголовке «B» латиницей, в тексте «В» кириллицей; в заголовке «1.8 л», в тексте «1,8 л». Здесь тара — «пластиковое ведро», а на цветных карточках Шов-фильтр тот же компонент назван «пластиковая канистра». Тип additive условно.</t>
        </is>
      </c>
    </row>
    <row r="227">
      <c r="A227" s="7" t="inlineStr">
        <is>
          <t>Основит</t>
        </is>
      </c>
      <c r="B227" s="7" t="inlineStr">
        <is>
          <t>Сопутствующие, не сухие: Добавки в растворы</t>
        </is>
      </c>
      <c r="C227" s="7" t="inlineStr">
        <is>
          <t>нет</t>
        </is>
      </c>
      <c r="D227" s="7" t="inlineStr">
        <is>
          <t>Основит Колорскрин AdP1</t>
        </is>
      </c>
      <c r="E227" s="7" t="inlineStr">
        <is>
          <t>Пигмент-краситель черный Основит Колорскрин AdP1 0,6 кг</t>
        </is>
      </c>
      <c r="F227" s="7" t="n">
        <v>4</v>
      </c>
      <c r="G227" s="7" t="inlineStr">
        <is>
          <t>Пигмент-краситель ОСНОВИТ КОЛОРСКРИН ADP1 предназначен для добавления в бетонные растворы, в цементные, гипсовые и известковые растворы для придания декоративного эффекта создаваемому покрытию.</t>
        </is>
      </c>
      <c r="H227" s="7" t="inlineStr">
        <is>
          <t>0,3 кг</t>
        </is>
      </c>
      <c r="I227" s="7" t="inlineStr">
        <is>
          <t>1 банка на 25 кг смеси</t>
        </is>
      </c>
      <c r="J227" s="7" t="inlineStr"/>
      <c r="K227" s="7" t="inlineStr"/>
      <c r="L227" s="7" t="inlineStr">
        <is>
          <t>—</t>
        </is>
      </c>
      <c r="M227" s="7" t="inlineStr">
        <is>
          <t>Жёлтый</t>
        </is>
      </c>
      <c r="N227" s="7" t="inlineStr">
        <is>
          <t>https://osnovit.ru/catalog/dobavki-v-rastvory/pigment-krasitel-osnovit-kolorskrin-adp1-chernyy/</t>
        </is>
      </c>
      <c r="O227" s="7" t="inlineStr">
        <is>
          <t>Пигмент — добавка, не сухая смесь (форма — порошок или паста — на странице не сказана). Документация на странице: «СГР Пигмент-краситель ОСНОВИТ Колорскрин ADP1», «Техническая карта Колорскрин ADp1» — ссылок в pdfs нет. Пригодится как сопутствующий товар к цветным растворам/стяжкам.</t>
        </is>
      </c>
    </row>
    <row r="228">
      <c r="A228" s="7" t="inlineStr">
        <is>
          <t>Основит</t>
        </is>
      </c>
      <c r="B228" s="7" t="inlineStr">
        <is>
          <t>Сопутствующие, не сухие: Добавки в растворы</t>
        </is>
      </c>
      <c r="C228" s="7" t="inlineStr">
        <is>
          <t>нет</t>
        </is>
      </c>
      <c r="D228" s="7" t="inlineStr">
        <is>
          <t>Основит Плитсэйв XE1</t>
        </is>
      </c>
      <c r="E228" s="7" t="inlineStr">
        <is>
          <t>Добавка металлизированная для эпоксидной затирки Основит Плитсэйв XE1 130 г</t>
        </is>
      </c>
      <c r="F228" s="7" t="n">
        <v>1</v>
      </c>
      <c r="G228" s="7" t="inlineStr">
        <is>
          <t>Металлизированная добавка ОСНОВИТ ПЛИТСЭЙВ XE1 применяется для получения новых цветов эпоксидной затирки, а также усиленных светоотражающих эффектов. Рекомендуется использовать с эпоксидной затиркой ОСНОВИТ ПЛИТСЭЙВ XE15 E хамелеон 014.</t>
        </is>
      </c>
      <c r="H228" s="7" t="inlineStr">
        <is>
          <t>130 г</t>
        </is>
      </c>
      <c r="I228" s="7" t="inlineStr"/>
      <c r="J228" s="7" t="inlineStr"/>
      <c r="K228" s="7" t="inlineStr"/>
      <c r="L228" s="7" t="inlineStr">
        <is>
          <t>—</t>
        </is>
      </c>
      <c r="M228" s="7" t="inlineStr"/>
      <c r="N228" s="7" t="inlineStr">
        <is>
          <t>https://osnovit.ru/catalog/zatirki-i-rasshivki/metallizirovannaya-dobavka-dlya-epoksidnoy-zatirki-osnovit-plitseyv-xe1-/</t>
        </is>
      </c>
      <c r="O228" s="7" t="inlineStr">
        <is>
          <t>Добавка к эпоксидной затирке (не к цементным растворам) — тип additive выбран как ближайший; можно отнести к сопутствующим tile_grout_epoxy. Документации на странице нет, характеристик — только вес.</t>
        </is>
      </c>
    </row>
    <row r="229">
      <c r="A229" s="7" t="inlineStr">
        <is>
          <t>Основит</t>
        </is>
      </c>
      <c r="B229" s="7" t="inlineStr">
        <is>
          <t>Сопутствующие, не сухие: Добавки в растворы</t>
        </is>
      </c>
      <c r="C229" s="7" t="inlineStr">
        <is>
          <t>нет</t>
        </is>
      </c>
      <c r="D229" s="7" t="inlineStr">
        <is>
          <t>Основит Сэйфскрин FPp12</t>
        </is>
      </c>
      <c r="E229" s="7" t="inlineStr">
        <is>
          <t>Фибра полипропиленовая Основит Сэйфскрин FPp12 150 г</t>
        </is>
      </c>
      <c r="F229" s="7" t="n">
        <v>2</v>
      </c>
      <c r="G229" s="7" t="inlineStr">
        <is>
          <t>ОСНОВИТ СЭЙФСКРИН FPp12 – полипропиленовое армирующее волокно длиной 12 мм, предназначено для добавления в бетоны и растворы с целью повышения прочности готовой конструкции, предотвращения усадки, повышения стойкости к истиранию, морозостойкости, огнестойкости, ударопрочности и водостойкости готовой конструкции.</t>
        </is>
      </c>
      <c r="H229" s="7" t="inlineStr">
        <is>
          <t>600 г</t>
        </is>
      </c>
      <c r="I229" s="7" t="inlineStr">
        <is>
          <t>Дозировка на 1 м 3 бетона*
600-900 г</t>
        </is>
      </c>
      <c r="J229" s="7" t="inlineStr"/>
      <c r="K229" s="7" t="inlineStr"/>
      <c r="L229" s="7" t="inlineStr">
        <is>
          <t>—</t>
        </is>
      </c>
      <c r="M229" s="7" t="inlineStr"/>
      <c r="N229" s="7" t="inlineStr">
        <is>
          <t>https://osnovit.ru/catalog/dobavki-v-rastvory/fibra-polipropilenovaya-osnovit-seyfskrin-fpp12_150/</t>
        </is>
      </c>
      <c r="O229" s="7" t="inlineStr">
        <is>
          <t>Фибра — добавка, не сухая смесь. Карточки 12 (600 г) и 13 (150 г) — один продукт, разная фасовка; тексты идентичны. Документация (отказное ДС, сертификат, экспертное заключение, техкарта) — ссылок в pdfs нет.</t>
        </is>
      </c>
    </row>
    <row r="230">
      <c r="A230" s="7" t="inlineStr">
        <is>
          <t>Основит</t>
        </is>
      </c>
      <c r="B230" s="7" t="inlineStr">
        <is>
          <t>Сопутствующие, не сухие: Добавки в растворы</t>
        </is>
      </c>
      <c r="C230" s="7" t="inlineStr">
        <is>
          <t>нет</t>
        </is>
      </c>
      <c r="D230" s="7" t="inlineStr">
        <is>
          <t>Основит Сэйфскрин SN1</t>
        </is>
      </c>
      <c r="E230" s="7" t="inlineStr">
        <is>
          <t>Добавка противоморозная Основит Сэйфскрин SN1 10 л</t>
        </is>
      </c>
      <c r="F230" s="7" t="n">
        <v>1</v>
      </c>
      <c r="G230" s="7" t="inlineStr">
        <is>
          <t>Противоморозная добавка ОСНОВИТ СЭЙФСКРИН SN1 предназначена для предотвращения замерзания воды в бетонных и цементных растворах при возведении монолитных и сборно-монолитных бетонных и железобетонных конструкций, обеспечивая гидратацию смеси в условиях отрицательных температур до начала тепловой обработки или термосного выдерживания.</t>
        </is>
      </c>
      <c r="H230" s="7" t="inlineStr">
        <is>
          <t>Сэйфскрин SN1 10 л</t>
        </is>
      </c>
      <c r="I230" s="7" t="inlineStr">
        <is>
          <t>Расход добавки при температуре, до -5°С, на 50кг
0,75л</t>
        </is>
      </c>
      <c r="J230" s="7" t="inlineStr"/>
      <c r="K230" s="7" t="inlineStr"/>
      <c r="L230" s="7" t="inlineStr">
        <is>
          <t>—</t>
        </is>
      </c>
      <c r="M230" s="7" t="inlineStr"/>
      <c r="N230" s="7" t="inlineStr">
        <is>
          <t>https://osnovit.ru/catalog/spetsialnye-rastvory/protivomoroznaya-dobavka-osnovit-seyvskrin-snn1/</t>
        </is>
      </c>
      <c r="O230" s="7" t="inlineStr">
        <is>
          <t>Жидкая добавка, вводится в воду затворения. Слаг URL «seyvskrin-snn1», код на странице SN1. Указания «для внутренних/наружных работ» нет. Техкарта и сертификат упомянуты, в pdfs нет.</t>
        </is>
      </c>
    </row>
    <row r="231">
      <c r="A231" s="7" t="inlineStr">
        <is>
          <t>Основит</t>
        </is>
      </c>
      <c r="B231" s="7" t="inlineStr">
        <is>
          <t>Сопутствующие, не сухие: Добавки в растворы</t>
        </is>
      </c>
      <c r="C231" s="7" t="inlineStr">
        <is>
          <t>нет</t>
        </is>
      </c>
      <c r="D231" s="7" t="inlineStr">
        <is>
          <t>Основит Сэйфскрин SPp1</t>
        </is>
      </c>
      <c r="E231" s="7" t="inlineStr">
        <is>
          <t>Пластификатор Основит Сэйфскрин SPp1</t>
        </is>
      </c>
      <c r="F231" s="7" t="n">
        <v>1</v>
      </c>
      <c r="G231" s="7" t="inlineStr">
        <is>
          <t>Пластификатор ОСНОВИТ СЭЙФСКРИН SPp1 предназначен для добавления в бетоны и растворы. Обеспечивает пластифицирующие и водоредуцирующие свойства смеси, регулирует подвижность смеси.</t>
        </is>
      </c>
      <c r="H231" s="7" t="inlineStr">
        <is>
          <t>1л, 5 л</t>
        </is>
      </c>
      <c r="I231" s="7" t="inlineStr">
        <is>
          <t>Дозировка от массы цемента
0,2-2,0 %</t>
        </is>
      </c>
      <c r="J231" s="7" t="inlineStr"/>
      <c r="K231" s="7" t="inlineStr"/>
      <c r="L231" s="7" t="inlineStr">
        <is>
          <t>—</t>
        </is>
      </c>
      <c r="M231" s="7" t="inlineStr"/>
      <c r="N231" s="7" t="inlineStr">
        <is>
          <t>https://osnovit.ru/catalog/dobavki-v-rastvory/plastifikator-osnovit-seyfskrin-spp1/</t>
        </is>
      </c>
      <c r="O231" s="7" t="inlineStr">
        <is>
          <t>Жидкая добавка. В тексте назначения есть мягкие переносы (U+00AD) внутри трёх слов во второй половине абзаца — эти места не цитировал. В «С этим материалом применяется» есть позиции бренда Стройбриг. Документация (СГР, сертификат, техкарта) — ссылок в pdfs нет.</t>
        </is>
      </c>
    </row>
    <row r="232">
      <c r="A232" s="7" t="inlineStr">
        <is>
          <t>Основит</t>
        </is>
      </c>
      <c r="B232" s="7" t="inlineStr">
        <is>
          <t>Сопутствующие, не сухие: Затирки эпоксидные</t>
        </is>
      </c>
      <c r="C232" s="7" t="inlineStr">
        <is>
          <t>нет</t>
        </is>
      </c>
      <c r="D232" s="7" t="inlineStr">
        <is>
          <t>Основит PRO затирка эпоксидная</t>
        </is>
      </c>
      <c r="E232" s="7" t="inlineStr">
        <is>
          <t>Затирка эпоксидная Основит PRO 1 кг</t>
        </is>
      </c>
      <c r="F232" s="7" t="n">
        <v>1</v>
      </c>
      <c r="G232" s="7" t="inlineStr">
        <is>
          <t>Эпоксидная затирка ОСНОВИТ PRO предназначена для заполнения и защиты межплиточных швов шириной до 15 мм на полах и стенах в жилых, общественных и производственных помещениях, медицинских учреждениях и помещениях с высокой проходимостью.</t>
        </is>
      </c>
      <c r="H232" s="7" t="inlineStr">
        <is>
          <t>1 кг</t>
        </is>
      </c>
      <c r="I232" s="7" t="inlineStr"/>
      <c r="J232" s="7" t="inlineStr">
        <is>
          <t>Ширина шва:
-на горизонтальной поверхности
1-15 мм
-на вертикальной поверхности
1-10 мм</t>
        </is>
      </c>
      <c r="K232" s="7" t="inlineStr"/>
      <c r="L232" s="7" t="inlineStr">
        <is>
          <t>—</t>
        </is>
      </c>
      <c r="M232" s="7" t="inlineStr">
        <is>
          <t>10 цветов</t>
        </is>
      </c>
      <c r="N232" s="7" t="inlineStr">
        <is>
          <t>https://osnovit.ru/catalog/epoksidnye-zatirki-i-materialy-dlya-ochistki-/epoksidnaya-zatirka-osnovit-pro/</t>
        </is>
      </c>
      <c r="O232" s="7" t="inlineStr">
        <is>
          <t>Двухкомпонентная эпоксидная затирка (паста + отвердитель); пропорция отвердителя сменилась для партий с 27.11.2023 (3,5 г → 5 г на 100 г пасты). Заявлено «10 цветов», а в списке «ДОСТУПНЫЕ ЦВЕТА» перечислено 8 (черный, тициан, венге, мокасиновый, багамы, серый, голубой, белый). Пары «-на горизонтальной/вертикальной поверхности» — ширина шва. Ссылки на техкарту в pdfs нет.</t>
        </is>
      </c>
    </row>
    <row r="233">
      <c r="A233" s="7" t="inlineStr">
        <is>
          <t>Основит</t>
        </is>
      </c>
      <c r="B233" s="7" t="inlineStr">
        <is>
          <t>Сопутствующие, не сухие: Затирки эпоксидные</t>
        </is>
      </c>
      <c r="C233" s="7" t="inlineStr">
        <is>
          <t>нет</t>
        </is>
      </c>
      <c r="D233" s="7" t="inlineStr">
        <is>
          <t>Основит Плитсэйв Ultra XE15 E</t>
        </is>
      </c>
      <c r="E233" s="7" t="inlineStr">
        <is>
          <t>Затирка эпоксидная Основит Плитсэйв Ultra XE15 E</t>
        </is>
      </c>
      <c r="F233" s="7" t="n">
        <v>1</v>
      </c>
      <c r="G233" s="7" t="inlineStr">
        <is>
          <t>Эпоксидная затирка ОСНОВИТ ПЛИТСЭЙВ ULTRA ХE15 Е предназначена для заполнения и защиты межплиточных швов шириной до 15 мм на полах и стенах в жилых, общественных и производственных помещениях, медицинских учреждениях и помещениях с высокой проходимостью.</t>
        </is>
      </c>
      <c r="H233" s="7" t="inlineStr">
        <is>
          <t>1 кг; 2,5 кг</t>
        </is>
      </c>
      <c r="I233" s="7" t="inlineStr"/>
      <c r="J233" s="7" t="inlineStr">
        <is>
          <t>Ширина шва
-на горизонтальной поверхности
1-15 мм
-на вертикальной поверхности
1-10 мм</t>
        </is>
      </c>
      <c r="K233" s="7" t="inlineStr"/>
      <c r="L233" s="7" t="inlineStr">
        <is>
          <t>—</t>
        </is>
      </c>
      <c r="M233" s="7" t="inlineStr"/>
      <c r="N233" s="7" t="inlineStr">
        <is>
          <t>https://osnovit.ru/catalog/zatirki-i-rasshivki/zatirka-epoksidnaya-osnovit-plitseyv-ultra-xe15-e-1kg/</t>
        </is>
      </c>
      <c r="O233" s="7" t="inlineStr">
        <is>
          <t>Двухкомпонентная эпоксидная затирка, перчатки в каждой банке. Отдельный продукт от «Плитсэйв XE15 E» (карточка 25) — фасовки разные (1/2,5 кг против 1/2/5 кг), тексты похожи; проверить у производителя, не линейка ли одного продукта. Число цветов не указано, упомянут только цвет 014 Хамелеон. Ссылки на техкарту в pdfs нет.</t>
        </is>
      </c>
    </row>
    <row r="234">
      <c r="A234" s="7" t="inlineStr">
        <is>
          <t>Основит</t>
        </is>
      </c>
      <c r="B234" s="7" t="inlineStr">
        <is>
          <t>Сопутствующие, не сухие: Затирки эпоксидные</t>
        </is>
      </c>
      <c r="C234" s="7" t="inlineStr">
        <is>
          <t>нет</t>
        </is>
      </c>
      <c r="D234" s="7" t="inlineStr">
        <is>
          <t>Основит Плитсэйв XE15 E</t>
        </is>
      </c>
      <c r="E234" s="7" t="inlineStr">
        <is>
          <t>Затирка эпоксидная Основит Плитсэйв XE15 E</t>
        </is>
      </c>
      <c r="F234" s="7" t="n">
        <v>1</v>
      </c>
      <c r="G234" s="7" t="inlineStr">
        <is>
          <t>Применяется для заполнения швов всех типов стеклянной плитки и мозаики, для керамической плитки, керамогранита, натурального и искусственного камня (в т.ч. клинкерной плитки), стеклянных блоков.</t>
        </is>
      </c>
      <c r="H234" s="7" t="inlineStr">
        <is>
          <t>1 кг, 2 кг, 5 кг</t>
        </is>
      </c>
      <c r="I234" s="7" t="inlineStr"/>
      <c r="J234" s="7" t="inlineStr">
        <is>
          <t>Ширина шва
-на горизонтальной поверхности
1-15 мм
-на вертикальной поверхности
1-10 мм</t>
        </is>
      </c>
      <c r="K234" s="7" t="inlineStr"/>
      <c r="L234" s="7" t="inlineStr">
        <is>
          <t>—</t>
        </is>
      </c>
      <c r="M234" s="7" t="inlineStr"/>
      <c r="N234" s="7" t="inlineStr">
        <is>
          <t>https://osnovit.ru/catalog/zatirki-i-rasshivki/zatirka-elastichnaya-osnovit-plitseyv-xe15-e/</t>
        </is>
      </c>
      <c r="O234" s="7" t="inlineStr">
        <is>
          <t>Адрес страницы «zatirka-elastichnaya», заголовок — «Затирка эпоксидная». Предложения «предназначена» нет — назначение взято из «Применяется для заполнения швов…». Есть UF-блокиратор, стеклянные микросферы. Число цветов не указано, упомянут цвет 014 Хамелеон. Ссылки на техкарту в pdfs нет.</t>
        </is>
      </c>
    </row>
    <row r="235">
      <c r="A235" s="7" t="inlineStr">
        <is>
          <t>Основит</t>
        </is>
      </c>
      <c r="B235" s="7" t="inlineStr">
        <is>
          <t>Сопутствующие, не сухие: Затирки эпоксидные</t>
        </is>
      </c>
      <c r="C235" s="7" t="inlineStr">
        <is>
          <t>нет</t>
        </is>
      </c>
      <c r="D235" s="7" t="inlineStr">
        <is>
          <t>Основит Плитсэйв Шовгард XE20 H</t>
        </is>
      </c>
      <c r="E235" s="7" t="inlineStr">
        <is>
          <t>Эпоксидная затирка-клей ОСНОВИТ ПЛИТСЭЙВ ШОВГАРД XE20 H</t>
        </is>
      </c>
      <c r="F235" s="7" t="n">
        <v>1</v>
      </c>
      <c r="G235" s="7" t="inlineStr">
        <is>
          <t>предназначена для заполнения и защиты межплиточных швов шириной до 20 мм на полах и стенах в жилых, общественных и производственных помещениях, медицинских учреждениях и помещениях с высокой проходимостью.</t>
        </is>
      </c>
      <c r="H235" s="7" t="inlineStr">
        <is>
          <t>2 кг</t>
        </is>
      </c>
      <c r="I235" s="7" t="inlineStr"/>
      <c r="J235" s="7" t="inlineStr">
        <is>
          <t>межплиточных швов шириной до 20 мм</t>
        </is>
      </c>
      <c r="K235" s="7" t="inlineStr"/>
      <c r="L235" s="7" t="inlineStr">
        <is>
          <t>—</t>
        </is>
      </c>
      <c r="M235" s="7" t="inlineStr">
        <is>
          <t>16</t>
        </is>
      </c>
      <c r="N235" s="7" t="inlineStr">
        <is>
          <t>https://osnovit.ru/catalog/zatirki-i-rasshivki/epoksidnaya-zatirka-kley-osnovit-plitseyv-power-xe20-h/</t>
        </is>
      </c>
      <c r="O235" s="7" t="inlineStr">
        <is>
          <t>Двухкомпонентная эпоксидная паста с отвердителем (пропорция зависит от даты выпуска: до 27.11.2023 — 3,5 г, с 27.11.2023 — 5 г на 100 г пасты). Карточка общая на 16 цветов, цвет не выбран. В названии код латиницей «XE20 H», в тексте применения — кириллицей «ХЕ20 Н». Ссылка на техкарту на странице есть («Техническая карта»), но в pdfs входа пусто.</t>
        </is>
      </c>
    </row>
    <row r="236">
      <c r="A236" s="7" t="inlineStr">
        <is>
          <t>Основит</t>
        </is>
      </c>
      <c r="B236" s="7" t="inlineStr">
        <is>
          <t>Сопутствующие, не сухие: Клей для обоев</t>
        </is>
      </c>
      <c r="C236" s="7" t="inlineStr">
        <is>
          <t>нет</t>
        </is>
      </c>
      <c r="D236" s="7" t="inlineStr">
        <is>
          <t>Основит Унихолст AA01</t>
        </is>
      </c>
      <c r="E236" s="7" t="inlineStr">
        <is>
          <t>Клей универсальный для стеклообоев и стеклохолста Основит Унихолст</t>
        </is>
      </c>
      <c r="F236" s="7" t="n">
        <v>1</v>
      </c>
      <c r="G236" s="7" t="inlineStr">
        <is>
          <t>Готовый к применению акриловый клей УНИХОЛСТ AA01 идеально подходит для приклейки малярного стеклохолста, «паутинки», малярного флизелина, малярной стеклосетки, стеклообоев и всех видов тяжёлых обоев.</t>
        </is>
      </c>
      <c r="H236" s="7" t="inlineStr">
        <is>
          <t>Вес нетто, кг
10
5</t>
        </is>
      </c>
      <c r="I236" s="7" t="inlineStr">
        <is>
          <t>Расход на 1 м², кг
0,2-0,3</t>
        </is>
      </c>
      <c r="J236" s="7" t="inlineStr"/>
      <c r="K236" s="7" t="inlineStr"/>
      <c r="L236" s="7" t="inlineStr">
        <is>
          <t>—</t>
        </is>
      </c>
      <c r="M236" s="7" t="inlineStr"/>
      <c r="N236" s="7" t="inlineStr">
        <is>
          <t>https://osnovit.ru/catalog/klei-dlya-oboev/unikholst/</t>
        </is>
      </c>
      <c r="O236" s="7" t="inlineStr">
        <is>
          <t>Не сухая смесь — готовый акриловый клей (паста). Код AA01 есть только в тексте, в h1 нет. Две фасовки: 10 и 5 кг. В разбавленном виде (не более 10% воды) — для виниловых, текстильных, флизелиновых и бумажных обоев в сухих помещениях. Для каталога сухих смесей — сопутствующий товар.</t>
        </is>
      </c>
    </row>
    <row r="237">
      <c r="A237" s="7" t="inlineStr">
        <is>
          <t>Perel</t>
        </is>
      </c>
      <c r="B237" s="7" t="inlineStr">
        <is>
          <t>Сопутствующие, не сухие: Краски и эмали</t>
        </is>
      </c>
      <c r="C237" s="7" t="inlineStr">
        <is>
          <t>нет</t>
        </is>
      </c>
      <c r="D237" s="7" t="inlineStr">
        <is>
          <t>Perel Elastico</t>
        </is>
      </c>
      <c r="E237" s="7" t="inlineStr">
        <is>
          <t>Perel Elastico, 14 кг, высокоэластичная резиновая краска</t>
        </is>
      </c>
      <c r="F237" s="7" t="n">
        <v>1</v>
      </c>
      <c r="G237" s="7" t="inlineStr">
        <is>
          <t>Применяется для выполнения работ на ровных основаниях из бетона, кирпича, блоков, ГКЛ, ПГП, дерева, ДСП, ДВП, в местах с высокими эксплуатационными нагрузками, подверженных постоянному воздействию воды.</t>
        </is>
      </c>
      <c r="H237" s="7" t="inlineStr">
        <is>
          <t>14 кг</t>
        </is>
      </c>
      <c r="I237" s="7" t="inlineStr"/>
      <c r="J237" s="7" t="inlineStr"/>
      <c r="K237" s="7" t="inlineStr"/>
      <c r="L237" s="7" t="inlineStr">
        <is>
          <t>—</t>
        </is>
      </c>
      <c r="M237" s="7" t="inlineStr"/>
      <c r="N237" s="7" t="inlineStr">
        <is>
          <t>https://td-perel.ru/catalog/kraski/perel-elastico-14-kg/</t>
        </is>
      </c>
      <c r="O237" s="7" t="inlineStr">
        <is>
          <t>«Резиновая краска» для покрытия, «не подверженного воздействию воды», — по смыслу близка к гидроизоляционному покрытию; тип оставлен paint по названию. Фасовка указана только в названии; основа, цвет и место работ (внутри/снаружи) не указаны. Срок хранения записан шаблонной фразой про «упакованных смесей». Блока «Характеристики» нет; расход и норматив не указаны.</t>
        </is>
      </c>
    </row>
    <row r="238">
      <c r="A238" s="7" t="inlineStr">
        <is>
          <t>Perel</t>
        </is>
      </c>
      <c r="B238" s="7" t="inlineStr">
        <is>
          <t>Сопутствующие, не сухие: Краски и эмали</t>
        </is>
      </c>
      <c r="C238" s="7" t="inlineStr">
        <is>
          <t>нет</t>
        </is>
      </c>
      <c r="D238" s="7" t="inlineStr">
        <is>
          <t>Perel Lattice</t>
        </is>
      </c>
      <c r="E238" s="7" t="inlineStr">
        <is>
          <t>Perel Lattice, 14 кг, латексная краска</t>
        </is>
      </c>
      <c r="F238" s="7" t="n">
        <v>1</v>
      </c>
      <c r="G238" s="7" t="inlineStr">
        <is>
          <t>Применяется для выполнения работ на ровных основаниях из бетона, кирпича, блоков и другим оштукатуренным поверхностям. Подходит для выполнения работ в местах с повышенной влажностью (ванные комнаты, промышленные здания).</t>
        </is>
      </c>
      <c r="H238" s="7" t="inlineStr">
        <is>
          <t>14 кг</t>
        </is>
      </c>
      <c r="I238" s="7" t="inlineStr"/>
      <c r="J238" s="7" t="inlineStr"/>
      <c r="K238" s="7" t="inlineStr"/>
      <c r="L238" s="7" t="inlineStr">
        <is>
          <t>—</t>
        </is>
      </c>
      <c r="M238" s="7" t="inlineStr">
        <is>
          <t>Выпускается белого цвета. По желанию заказчика колеруется в массе согласно каталога Perel или любому другому понравившемуся каталогу.</t>
        </is>
      </c>
      <c r="N238" s="7" t="inlineStr">
        <is>
          <t>https://td-perel.ru/catalog/kraski/perel-lattice/</t>
        </is>
      </c>
      <c r="O238" s="7" t="inlineStr">
        <is>
          <t>Названа «фасадная», но прямого «для наружных и внутренних работ» нет. Фасовка указана только в названии. Срок хранения записан шаблонной фразой про «упакованных смесей». Блока «Характеристики» нет; расход и норматив не указаны.</t>
        </is>
      </c>
    </row>
    <row r="239">
      <c r="A239" s="7" t="inlineStr">
        <is>
          <t>Perel</t>
        </is>
      </c>
      <c r="B239" s="7" t="inlineStr">
        <is>
          <t>Сопутствующие, не сухие: Краски и эмали</t>
        </is>
      </c>
      <c r="C239" s="7" t="inlineStr">
        <is>
          <t>нет</t>
        </is>
      </c>
      <c r="D239" s="7" t="inlineStr">
        <is>
          <t>Perel Struttura Facci</t>
        </is>
      </c>
      <c r="E239" s="7" t="inlineStr">
        <is>
          <t>Perel Struttura Facci, декоративная краска</t>
        </is>
      </c>
      <c r="F239" s="7" t="n">
        <v>1</v>
      </c>
      <c r="G239" s="7" t="inlineStr">
        <is>
          <t>Декоративная краска для наружных и внутренних работ на минеральных основаниях. Применяется в качестве финишного декоративного покрытия, образует прочное антивандальное покрытие, устойчивое к любым атмосферным явлениям.</t>
        </is>
      </c>
      <c r="H239" s="7" t="inlineStr"/>
      <c r="I239" s="7" t="inlineStr"/>
      <c r="J239" s="7" t="inlineStr"/>
      <c r="K239" s="7" t="inlineStr"/>
      <c r="L239" s="7" t="inlineStr">
        <is>
          <t>—</t>
        </is>
      </c>
      <c r="M239" s="7" t="inlineStr"/>
      <c r="N239" s="7" t="inlineStr">
        <is>
          <t>https://td-perel.ru/catalog/fakturnye-materialy/perel-struttura-facci/</t>
        </is>
      </c>
      <c r="O239" s="7" t="inlineStr">
        <is>
          <t>Производитель называет товар «декоративная краска» для рельефного покрытия, лежит в разделе «Фактурные материалы». Тип между paint и decorative_plaster_paste, выбран paint по названию. Фасовка, расход, цвета и норматив не указаны; блока «Характеристики» нет. Срок хранения записан шаблонной фразой про «упакованных смесей».</t>
        </is>
      </c>
    </row>
    <row r="240">
      <c r="A240" s="7" t="inlineStr">
        <is>
          <t>Perel</t>
        </is>
      </c>
      <c r="B240" s="7" t="inlineStr">
        <is>
          <t>Сопутствующие, не сухие: Краски и эмали</t>
        </is>
      </c>
      <c r="C240" s="7" t="inlineStr">
        <is>
          <t>нет</t>
        </is>
      </c>
      <c r="D240" s="7" t="inlineStr">
        <is>
          <t>Perel Struttura Interno</t>
        </is>
      </c>
      <c r="E240" s="7" t="inlineStr">
        <is>
          <t>Perel Struttura Interno, фактурная краска для внутренних работ</t>
        </is>
      </c>
      <c r="F240" s="7" t="n">
        <v>1</v>
      </c>
      <c r="G240" s="7" t="inlineStr">
        <is>
          <t>Фактурная краска для получения декоративного рельефного покрытия на минеральных основаниях внутри помещения. Образует декоративный слой, скрывающий мелкие дефекты стен.</t>
        </is>
      </c>
      <c r="H240" s="7" t="inlineStr"/>
      <c r="I240" s="7" t="inlineStr"/>
      <c r="J240" s="7" t="inlineStr"/>
      <c r="K240" s="7" t="inlineStr"/>
      <c r="L240" s="7" t="inlineStr">
        <is>
          <t>—</t>
        </is>
      </c>
      <c r="M240" s="7" t="inlineStr"/>
      <c r="N240" s="7" t="inlineStr">
        <is>
          <t>https://td-perel.ru/catalog/fakturnye-materialy/perel-struttura-interno/</t>
        </is>
      </c>
      <c r="O240" s="7" t="inlineStr">
        <is>
          <t>«Фактурная краска» из раздела «Фактурные материалы». Тип между paint и decorative_plaster_paste, выбран paint по названию. Назначение — только внутри помещений, но в свойствах указана «атмосферостойкостью». Фасовка, расход и цвета не указаны; блока «Характеристики» нет.</t>
        </is>
      </c>
    </row>
    <row r="241">
      <c r="A241" s="7" t="inlineStr">
        <is>
          <t>Perel</t>
        </is>
      </c>
      <c r="B241" s="7" t="inlineStr">
        <is>
          <t>Сопутствующие, не сухие: Краски и эмали</t>
        </is>
      </c>
      <c r="C241" s="7" t="inlineStr">
        <is>
          <t>нет</t>
        </is>
      </c>
      <c r="D241" s="7" t="inlineStr">
        <is>
          <t>Perel Tintura</t>
        </is>
      </c>
      <c r="E241" s="7" t="inlineStr">
        <is>
          <t>Perel Tintura, 14 кг, моющаяся акриловая краска</t>
        </is>
      </c>
      <c r="F241" s="7" t="n">
        <v>1</v>
      </c>
      <c r="G241" s="7" t="inlineStr">
        <is>
          <t>Применяется для выполнения работ на ровных основаниях из бетона, кирпича, блоков, ГКЛ, ПГП, дерева, ДСП, ДВП, в местах с высокими эксплуатационными нагрузками, требующие частую влажную уборку.</t>
        </is>
      </c>
      <c r="H241" s="7" t="inlineStr">
        <is>
          <t>14 кг</t>
        </is>
      </c>
      <c r="I241" s="7" t="inlineStr"/>
      <c r="J241" s="7" t="inlineStr"/>
      <c r="K241" s="7" t="inlineStr"/>
      <c r="L241" s="7" t="inlineStr">
        <is>
          <t>—</t>
        </is>
      </c>
      <c r="M241" s="7" t="inlineStr">
        <is>
          <t>Выпускается белого цвета. По желанию заказчика колеруется в массе согласно каталога Perel или любому другому понравившемуся каталогу.</t>
        </is>
      </c>
      <c r="N241" s="7" t="inlineStr">
        <is>
          <t>https://td-perel.ru/catalog/kraski/perel-tintura/</t>
        </is>
      </c>
      <c r="O241" s="7" t="inlineStr">
        <is>
          <t>Фасовка указана только в названии. Срок хранения записан шаблонной фразой про «упакованных смесей». Блока «Характеристики» нет; расход и норматив не указаны.</t>
        </is>
      </c>
    </row>
    <row r="242">
      <c r="A242" s="7" t="inlineStr">
        <is>
          <t>Perel</t>
        </is>
      </c>
      <c r="B242" s="7" t="inlineStr">
        <is>
          <t>Сопутствующие, не сухие: Краски и эмали</t>
        </is>
      </c>
      <c r="C242" s="7" t="inlineStr">
        <is>
          <t>нет</t>
        </is>
      </c>
      <c r="D242" s="7" t="inlineStr">
        <is>
          <t>Perel Vernice</t>
        </is>
      </c>
      <c r="E242" s="7" t="inlineStr">
        <is>
          <t>Perel Vernice, 14 кг, влагостойкая интерьерная краска</t>
        </is>
      </c>
      <c r="F242" s="7" t="n">
        <v>1</v>
      </c>
      <c r="G242" s="7" t="inlineStr">
        <is>
          <t>Применяется для окрашивания стен и потолков из бетона, кирпича, ГКЛ, ПГП и пр.оштукатуренные поверхности в жилых и нежилых помещениях с нормальной эксплуатационной нагрузкой.</t>
        </is>
      </c>
      <c r="H242" s="7" t="inlineStr">
        <is>
          <t>14 кг</t>
        </is>
      </c>
      <c r="I242" s="7" t="inlineStr"/>
      <c r="J242" s="7" t="inlineStr"/>
      <c r="K242" s="7" t="inlineStr"/>
      <c r="L242" s="7" t="inlineStr">
        <is>
          <t>—</t>
        </is>
      </c>
      <c r="M242" s="7" t="inlineStr">
        <is>
          <t>Выпускается кипельно белого цвета (98% белизны).</t>
        </is>
      </c>
      <c r="N242" s="7" t="inlineStr">
        <is>
          <t>https://td-perel.ru/catalog/kraski/perel-vernice/</t>
        </is>
      </c>
      <c r="O242" s="7" t="inlineStr">
        <is>
          <t>Основа не указана. Фасовка указана только в названии. Срок хранения записан шаблонной фразой. Блока «Характеристики» нет; расход и норматив не указаны.</t>
        </is>
      </c>
    </row>
    <row r="243">
      <c r="A243" s="7" t="inlineStr">
        <is>
          <t>Основит</t>
        </is>
      </c>
      <c r="B243" s="7" t="inlineStr">
        <is>
          <t>Сопутствующие, не сухие: Краски и эмали</t>
        </is>
      </c>
      <c r="C243" s="7" t="inlineStr">
        <is>
          <t>нет</t>
        </is>
      </c>
      <c r="D243" s="7" t="inlineStr">
        <is>
          <t>Основит Univita Studio Albero EAс811</t>
        </is>
      </c>
      <c r="E243" s="7" t="inlineStr">
        <is>
          <t>Эмаль по дереву Univita Studio Аlbero EAс811 СМ3</t>
        </is>
      </c>
      <c r="F243" s="7" t="n">
        <v>1</v>
      </c>
      <c r="G243" s="7" t="inlineStr">
        <is>
          <t>Рекомендуется для нанесения по деревянным основаниям, деревосодержащим основаниям, древесностружечным и древесноволокнистым плитам, а также по бетонным, кирпичным, оштукатуренным, зашпатлеванным поверхностям, гипсокартону, обоям и поверхностям, ранее окрашенным водно-дисперсионными красками и алкидными эмалями</t>
        </is>
      </c>
      <c r="H243" s="7" t="inlineStr">
        <is>
          <t>0,9 л/2,7 л</t>
        </is>
      </c>
      <c r="I243" s="7" t="inlineStr">
        <is>
          <t>10–14 м 2 /1 л</t>
        </is>
      </c>
      <c r="J243" s="7" t="inlineStr"/>
      <c r="K243" s="7" t="inlineStr"/>
      <c r="L243" s="7" t="inlineStr">
        <is>
          <t>—</t>
        </is>
      </c>
      <c r="M243" s="7" t="inlineStr">
        <is>
          <t>RAL, NCS, ColorChart и другие</t>
        </is>
      </c>
      <c r="N243" s="7" t="inlineStr">
        <is>
          <t>https://osnovit.ru/catalog/emali/emal-po-derevu-univita-studio-albero-eas811-sm3/</t>
        </is>
      </c>
      <c r="O243" s="7" t="inlineStr">
        <is>
          <t>Акриловая эмаль — не сухая смесь, вне профиля сайта сухих смесей. Документация «Тех карта» — ссылки в pdfs нет. Отдельного предложения «предназначена» нет — назначение взято из абзаца о рекомендуемых основаниях. Фразы «для наружных/внутренних работ» на странице нет. Title страницы — «полуматовая», на странице — «ГЛУБОКОМАТОВАЯ».</t>
        </is>
      </c>
    </row>
    <row r="244">
      <c r="A244" s="7" t="inlineStr">
        <is>
          <t>Основит</t>
        </is>
      </c>
      <c r="B244" s="7" t="inlineStr">
        <is>
          <t>Сопутствующие, не сухие: Краски и эмали</t>
        </is>
      </c>
      <c r="C244" s="7" t="inlineStr">
        <is>
          <t>нет</t>
        </is>
      </c>
      <c r="D244" s="7" t="inlineStr">
        <is>
          <t>Основит Univita Studio Lusso I</t>
        </is>
      </c>
      <c r="E244" s="7" t="inlineStr">
        <is>
          <t>Краска интерьерная матовая Основит Univita Studio Lusso I</t>
        </is>
      </c>
      <c r="F244" s="7" t="n">
        <v>1</v>
      </c>
      <c r="G244" s="7" t="inlineStr">
        <is>
          <t>Предназначена для окрашивания стен и потолков в помещениях с нормальной и повышенной влажностью.</t>
        </is>
      </c>
      <c r="H244" s="7" t="inlineStr">
        <is>
          <t>0,9 л/2,7 л/9 л</t>
        </is>
      </c>
      <c r="I244" s="7" t="inlineStr">
        <is>
          <t>10–14 м 2 /1 л</t>
        </is>
      </c>
      <c r="J244" s="7" t="inlineStr"/>
      <c r="K244" s="7" t="inlineStr">
        <is>
          <t>1 класс износостойкости к истиранию по стандарту ISO 11998/DIN EN 13300</t>
        </is>
      </c>
      <c r="L244" s="7" t="inlineStr">
        <is>
          <t>—</t>
        </is>
      </c>
      <c r="M244" s="7" t="inlineStr">
        <is>
          <t>RAL, NCS, ColorChart и другие</t>
        </is>
      </c>
      <c r="N244" s="7" t="inlineStr">
        <is>
          <t>https://osnovit.ru/catalog/kraski/interernaya-kraska-matovaya-moyushchayasya-ekstraprochnaya-dlya-sten-i-potolkov-osnovit-univita-stud/</t>
        </is>
      </c>
      <c r="O244" s="7" t="inlineStr">
        <is>
          <t>Интерьерная акриловая краска, базы А и С (С — только колерованная); фасовки 0,9/2,7/9 л на одной странице. Есть «Сертификат соответствия классу пожарной опасности КМ1». Матовая, экстрапрочная, гипоаллергенная.</t>
        </is>
      </c>
    </row>
    <row r="245">
      <c r="A245" s="7" t="inlineStr">
        <is>
          <t>Основит</t>
        </is>
      </c>
      <c r="B245" s="7" t="inlineStr">
        <is>
          <t>Сопутствующие, не сухие: Краски и эмали</t>
        </is>
      </c>
      <c r="C245" s="7" t="inlineStr">
        <is>
          <t>нет</t>
        </is>
      </c>
      <c r="D245" s="7" t="inlineStr">
        <is>
          <t>Основит Univita Studio Lusso II</t>
        </is>
      </c>
      <c r="E245" s="7" t="inlineStr">
        <is>
          <t>Краска интерьерная глубокоматовая Основит Univita Studio Lusso II</t>
        </is>
      </c>
      <c r="F245" s="7" t="n">
        <v>1</v>
      </c>
      <c r="G245" s="7" t="inlineStr">
        <is>
          <t>Предназначена для окрашивания стен и потолков в помещениях с нормальной и повышенной влажностью.</t>
        </is>
      </c>
      <c r="H245" s="7" t="inlineStr">
        <is>
          <t>0,9 л/2,7 л/9 л</t>
        </is>
      </c>
      <c r="I245" s="7" t="inlineStr">
        <is>
          <t>9–12 м 2 /1 л</t>
        </is>
      </c>
      <c r="J245" s="7" t="inlineStr"/>
      <c r="K245" s="7" t="inlineStr">
        <is>
          <t>2 класс износостойкости к истиранию по стандарту ISO 11998/DIN EN 13300</t>
        </is>
      </c>
      <c r="L245" s="7" t="inlineStr">
        <is>
          <t>—</t>
        </is>
      </c>
      <c r="M245" s="7" t="inlineStr">
        <is>
          <t>RAL, NCS, ColorChart и другие</t>
        </is>
      </c>
      <c r="N245" s="7" t="inlineStr">
        <is>
          <t>https://osnovit.ru/catalog/kraski/interernaya-kraska-glubokomatovaya-moyushchayasya-dlya-sten-i-potolkov-osnovit-univita-studio-lusso-/</t>
        </is>
      </c>
      <c r="O245" s="7" t="inlineStr">
        <is>
          <t>Интерьерная акриловая краска, базы А и С (С — только колерованная); фасовки 0,9/2,7/9 л на одной странице. Есть «Сертификат соответствия классу пожарной опасности КМ1». Глубокоматовая.</t>
        </is>
      </c>
    </row>
    <row r="246">
      <c r="A246" s="7" t="inlineStr">
        <is>
          <t>Основит</t>
        </is>
      </c>
      <c r="B246" s="7" t="inlineStr">
        <is>
          <t>Сопутствующие, не сухие: Краски и эмали</t>
        </is>
      </c>
      <c r="C246" s="7" t="inlineStr">
        <is>
          <t>нет</t>
        </is>
      </c>
      <c r="D246" s="7" t="inlineStr">
        <is>
          <t>Основит Univita Studio Lusso III</t>
        </is>
      </c>
      <c r="E246" s="7" t="inlineStr">
        <is>
          <t>Краска интерьерная глубокоматовая Основит Univita Studio Lusso III</t>
        </is>
      </c>
      <c r="F246" s="7" t="n">
        <v>1</v>
      </c>
      <c r="G246" s="7" t="inlineStr">
        <is>
          <t>Предназначена для окрашивания стен и потолков в помещениях с нормальной и повышенной влажностью.</t>
        </is>
      </c>
      <c r="H246" s="7" t="inlineStr">
        <is>
          <t>0,9 л/2,7 л/9 л</t>
        </is>
      </c>
      <c r="I246" s="7" t="inlineStr">
        <is>
          <t>8–11 м 2 /1 л</t>
        </is>
      </c>
      <c r="J246" s="7" t="inlineStr"/>
      <c r="K246" s="7" t="inlineStr">
        <is>
          <t>3 класс износостойкости к истиранию по стандарту ISO 11998/DIN EN 13300</t>
        </is>
      </c>
      <c r="L246" s="7" t="inlineStr">
        <is>
          <t>—</t>
        </is>
      </c>
      <c r="M246" s="7" t="inlineStr">
        <is>
          <t>RAL, NCS, ColorChart и другие</t>
        </is>
      </c>
      <c r="N246" s="7" t="inlineStr">
        <is>
          <t>https://osnovit.ru/catalog/kraski/osnovit-univita-studio-lusso-iii-sas993-cm2/</t>
        </is>
      </c>
      <c r="O246" s="7" t="inlineStr">
        <is>
          <t>Интерьерная акриловая краска, базы А и С (С — только колерованная); фасовки 0,9/2,7/9 л на одной странице. Есть «Сертификат соответствия классу пожарной опасности КМ1». Глубокоматовая.</t>
        </is>
      </c>
    </row>
    <row r="247">
      <c r="A247" s="7" t="inlineStr">
        <is>
          <t>Основит</t>
        </is>
      </c>
      <c r="B247" s="7" t="inlineStr">
        <is>
          <t>Сопутствующие, не сухие: Краски и эмали</t>
        </is>
      </c>
      <c r="C247" s="7" t="inlineStr">
        <is>
          <t>нет</t>
        </is>
      </c>
      <c r="D247" s="7" t="inlineStr">
        <is>
          <t>Основит Univita Studio Metallo EAс821</t>
        </is>
      </c>
      <c r="E247" s="7" t="inlineStr">
        <is>
          <t>Эмаль по металлу Univita Studio Metallo EAс821 ПМ20</t>
        </is>
      </c>
      <c r="F247" s="7" t="n">
        <v>1</v>
      </c>
      <c r="G247" s="7" t="inlineStr">
        <is>
          <t>Эмаль ПО МЕТАЛЛУ: ОСНОВИТ UNIVITA Studio Metallo EAс821 ПМ20 акриловая полуматовая предназначена для создания гладкого декоративно-защитного покрытия на металлических основаниях.</t>
        </is>
      </c>
      <c r="H247" s="7" t="inlineStr">
        <is>
          <t>0,9 л/2,7 л</t>
        </is>
      </c>
      <c r="I247" s="7" t="inlineStr">
        <is>
          <t>10–14 м 2 /1 л</t>
        </is>
      </c>
      <c r="J247" s="7" t="inlineStr"/>
      <c r="K247" s="7" t="inlineStr"/>
      <c r="L247" s="7" t="inlineStr">
        <is>
          <t>—</t>
        </is>
      </c>
      <c r="M247" s="7" t="inlineStr">
        <is>
          <t>RAL, NCS, ColorChart и другие</t>
        </is>
      </c>
      <c r="N247" s="7" t="inlineStr">
        <is>
          <t>https://osnovit.ru/catalog/emali/emal-po-metallu-univita-studio-metallo-eas821-pm20/</t>
        </is>
      </c>
      <c r="O247" s="7" t="inlineStr">
        <is>
          <t>Акриловая эмаль — не сухая смесь, вне профиля сайта сухих смесей. Документация «Тех карта» — ссылки в pdfs нет. На странице нет кнопки «Купить». В тексте назначения та же эмаль названа «EAс821 СМ3» при ПМ20 в названии; характеристика блеска «глубокоматовая» при «полуматовая» в названии.</t>
        </is>
      </c>
    </row>
    <row r="248">
      <c r="A248" s="7" t="inlineStr">
        <is>
          <t>Основит</t>
        </is>
      </c>
      <c r="B248" s="7" t="inlineStr">
        <is>
          <t>Сопутствующие, не сухие: Краски и эмали</t>
        </is>
      </c>
      <c r="C248" s="7" t="inlineStr">
        <is>
          <t>нет</t>
        </is>
      </c>
      <c r="D248" s="7" t="inlineStr">
        <is>
          <t>Основит Univita Studio Porta EAс831</t>
        </is>
      </c>
      <c r="E248" s="7" t="inlineStr">
        <is>
          <t>Эмаль для окон и дверей Univita Studio Porta EAс831 ПМ20</t>
        </is>
      </c>
      <c r="F248" s="7" t="n">
        <v>1</v>
      </c>
      <c r="G248" s="7" t="inlineStr">
        <is>
          <t>Эмаль ДЛЯ ОКОН И ДВЕРЕЙ: ОСНОВИТ UNIVITA Studio Porta EAс831 ПМ20 акриловая полуматовая предназначена для создания гладкого декоративно-защитного покрытия на оконных блоках, подоконниках, дверях, любых изделиях и конструкциях из дерева и дерево содержащих основаниях.</t>
        </is>
      </c>
      <c r="H248" s="7" t="inlineStr">
        <is>
          <t>0,9 л/2,7 л</t>
        </is>
      </c>
      <c r="I248" s="7" t="inlineStr">
        <is>
          <t>10–14 м 2 /1 л</t>
        </is>
      </c>
      <c r="J248" s="7" t="inlineStr"/>
      <c r="K248" s="7" t="inlineStr"/>
      <c r="L248" s="7" t="inlineStr">
        <is>
          <t>—</t>
        </is>
      </c>
      <c r="M248" s="7" t="inlineStr">
        <is>
          <t>RAL, NCS, ColorChart и другие</t>
        </is>
      </c>
      <c r="N248" s="7" t="inlineStr">
        <is>
          <t>https://osnovit.ru/catalog/emali/emal-dlya-okon-i-dverey-univita-studio-porta-eas831-pm20/</t>
        </is>
      </c>
      <c r="O248" s="7" t="inlineStr">
        <is>
          <t>Акриловая эмаль — не сухая смесь, вне профиля сайта сухих смесей. Документация «Тех карта» — ссылки в pdfs нет. В названии ПМ20 и в тексте «полуматовая», в характеристике «По степени блеска» — «глубокоматовая». В разделе «Уход» упомянута другая эмаль (Albero EAс811 СМ3) — копипаст.</t>
        </is>
      </c>
    </row>
    <row r="249">
      <c r="A249" s="7" t="inlineStr">
        <is>
          <t>Основит</t>
        </is>
      </c>
      <c r="B249" s="7" t="inlineStr">
        <is>
          <t>Сопутствующие, не сухие: Краски и эмали</t>
        </is>
      </c>
      <c r="C249" s="7" t="inlineStr">
        <is>
          <t>нет</t>
        </is>
      </c>
      <c r="D249" s="7" t="inlineStr">
        <is>
          <t>Основит Univita Studio Prime I</t>
        </is>
      </c>
      <c r="E249" s="7" t="inlineStr">
        <is>
          <t>Краска интерьерная полуматовая Основит Univita Studio Prime I</t>
        </is>
      </c>
      <c r="F249" s="7" t="n">
        <v>1</v>
      </c>
      <c r="G249" s="7" t="inlineStr">
        <is>
          <t>Предназначена для окрашивания стен и потолков в помещениях с нормальной и повышенной влажностью.</t>
        </is>
      </c>
      <c r="H249" s="7" t="inlineStr">
        <is>
          <t>0,9 л/2,7 л/9 л</t>
        </is>
      </c>
      <c r="I249" s="7" t="inlineStr">
        <is>
          <t>10–14 м 2 /1 л</t>
        </is>
      </c>
      <c r="J249" s="7" t="inlineStr"/>
      <c r="K249" s="7" t="inlineStr">
        <is>
          <t>1 класс износостойкости к истиранию по стандарту ISO 11998/DIN EN 13300</t>
        </is>
      </c>
      <c r="L249" s="7" t="inlineStr">
        <is>
          <t>—</t>
        </is>
      </c>
      <c r="M249" s="7" t="inlineStr">
        <is>
          <t>RAL, NCS, ColorChart и другие</t>
        </is>
      </c>
      <c r="N249" s="7" t="inlineStr">
        <is>
          <t>https://osnovit.ru/catalog/kraski/interernaya-kraska-polumatovaya-moyushchayasya-dlya-sten-i-potolkov-osnovit-univita-studio-prime-i-s/</t>
        </is>
      </c>
      <c r="O249" s="7" t="inlineStr">
        <is>
          <t>Полуматовая; «Идеальна для помещений с повышенной влажностью: для ванн и кухонь», устойчива к грибку и плесени. Базы А и С; сертификат КМ1.</t>
        </is>
      </c>
    </row>
    <row r="250">
      <c r="A250" s="7" t="inlineStr">
        <is>
          <t>Основит</t>
        </is>
      </c>
      <c r="B250" s="7" t="inlineStr">
        <is>
          <t>Сопутствующие, не сухие: Краски и эмали</t>
        </is>
      </c>
      <c r="C250" s="7" t="inlineStr">
        <is>
          <t>нет</t>
        </is>
      </c>
      <c r="D250" s="7" t="inlineStr">
        <is>
          <t>Основит Univita Studio Termo EAс841</t>
        </is>
      </c>
      <c r="E250" s="7" t="inlineStr">
        <is>
          <t>Эмаль для радиаторов отопления Univita Studio Termo EAс841 ПМ20</t>
        </is>
      </c>
      <c r="F250" s="7" t="n">
        <v>1</v>
      </c>
      <c r="G250" s="7" t="inlineStr">
        <is>
          <t>Эмаль ПО МЕТАЛЛУ: ОСНОВИТ UNIVITA Studio Termo EAс841 ПМ20 акриловая полуматовая предназначена для окрашивания радиаторов и систем отопления.</t>
        </is>
      </c>
      <c r="H250" s="7" t="inlineStr">
        <is>
          <t>0,9 л/2,7 л</t>
        </is>
      </c>
      <c r="I250" s="7" t="inlineStr">
        <is>
          <t>10–14 м 2 /1 л</t>
        </is>
      </c>
      <c r="J250" s="7" t="inlineStr"/>
      <c r="K250" s="7" t="inlineStr"/>
      <c r="L250" s="7" t="inlineStr">
        <is>
          <t>—</t>
        </is>
      </c>
      <c r="M250" s="7" t="inlineStr">
        <is>
          <t>RAL, NCS, ColorChart и другие</t>
        </is>
      </c>
      <c r="N250" s="7" t="inlineStr">
        <is>
          <t>https://osnovit.ru/catalog/emali/emal-dlya-radiatorov-otopleniya-univita-studio-termo-eas841-pm20/</t>
        </is>
      </c>
      <c r="O250" s="7" t="inlineStr">
        <is>
          <t>Акриловая эмаль — не сухая смесь, вне профиля сайта сухих смесей. Документация «Тех карта» — ссылки в pdfs нет. В «Применении» эмаль названа «Эмаль ПО МЕТАЛЛУ»; подготовка основания описывает древесину; «Уход» про Albero EAс811 СМ3 — копипаст. Характеристики (сухой остаток, плотности) совпадают с Porta EAс831. Название ПМ20/полуматовая против «глубокоматовая» в характеристиках.</t>
        </is>
      </c>
    </row>
    <row r="251">
      <c r="A251" s="7" t="inlineStr">
        <is>
          <t>Основит</t>
        </is>
      </c>
      <c r="B251" s="7" t="inlineStr">
        <is>
          <t>Сопутствующие, не сухие: Краски и эмали</t>
        </is>
      </c>
      <c r="C251" s="7" t="inlineStr">
        <is>
          <t>нет</t>
        </is>
      </c>
      <c r="D251" s="7" t="inlineStr">
        <is>
          <t>Основит Техно Лайтколор САс995 СМ2</t>
        </is>
      </c>
      <c r="E251" s="7" t="inlineStr">
        <is>
          <t>Краска интерьерная супербелая Основит Техно Лайтколор САс995 СМ2</t>
        </is>
      </c>
      <c r="F251" s="7" t="n">
        <v>1</v>
      </c>
      <c r="G251" s="7" t="inlineStr">
        <is>
          <t>Предназначена для окрашивания стен и потолков в помещениях с нормальной и повышенной влажностью.</t>
        </is>
      </c>
      <c r="H251" s="7" t="inlineStr">
        <is>
          <t>25 кг, 14 кг</t>
        </is>
      </c>
      <c r="I251" s="7" t="inlineStr">
        <is>
          <t>6–8 м 2 /кг</t>
        </is>
      </c>
      <c r="J251" s="7" t="inlineStr"/>
      <c r="K251" s="7" t="inlineStr"/>
      <c r="L251" s="7" t="inlineStr">
        <is>
          <t>—</t>
        </is>
      </c>
      <c r="M251" s="7" t="inlineStr">
        <is>
          <t>RAL, NCS, ColorChart и другие</t>
        </is>
      </c>
      <c r="N251" s="7" t="inlineStr">
        <is>
          <t>https://osnovit.ru/catalog/kraski/tekhno-laytkolor-sas995-sm2/</t>
        </is>
      </c>
      <c r="O251" s="7" t="inlineStr">
        <is>
          <t>В описании «совершенно матовая», в характеристиках «Глубокоматовая»; класса устойчивости к истиранию на странице нет. Описание дословно совпадает с Техколор СAc993 СМ2.</t>
        </is>
      </c>
    </row>
    <row r="252">
      <c r="A252" s="7" t="inlineStr">
        <is>
          <t>Основит</t>
        </is>
      </c>
      <c r="B252" s="7" t="inlineStr">
        <is>
          <t>Сопутствующие, не сухие: Краски и эмали</t>
        </is>
      </c>
      <c r="C252" s="7" t="inlineStr">
        <is>
          <t>нет</t>
        </is>
      </c>
      <c r="D252" s="7" t="inlineStr">
        <is>
          <t>Основит Техно Профколор CST993 CM2 KM0</t>
        </is>
      </c>
      <c r="E252" s="7" t="inlineStr">
        <is>
          <t>Краска интерьерная негорючая Основит Техно Профколор CST993 CM2 KM0</t>
        </is>
      </c>
      <c r="F252" s="7" t="n">
        <v>1</v>
      </c>
      <c r="G252" s="7" t="inlineStr">
        <is>
          <t>Краска КМ0 силикатная применяется для окрашивания поверхностей стен и потолков в помещениях с высокими требованиями пожарной безопасности (многоэтажные здания, пути эвакуации, учебные и лечебные учреждения, концертные залы, коридоры, лифты, подвалы, склады, гаражи, бизнес-центры, магазины и т.д.).</t>
        </is>
      </c>
      <c r="H252" s="7" t="inlineStr">
        <is>
          <t>25 кг, 14 кг</t>
        </is>
      </c>
      <c r="I252" s="7" t="inlineStr">
        <is>
          <t>4 м 2 /кг</t>
        </is>
      </c>
      <c r="J252" s="7" t="inlineStr"/>
      <c r="K252" s="7" t="inlineStr">
        <is>
          <t>класса пожарной опасности КМО (НГ)</t>
        </is>
      </c>
      <c r="L252" s="7" t="inlineStr">
        <is>
          <t>—</t>
        </is>
      </c>
      <c r="M252" s="7" t="inlineStr">
        <is>
          <t>RAL, NCS, ColorChart и другие</t>
        </is>
      </c>
      <c r="N252" s="7" t="inlineStr">
        <is>
          <t>https://osnovit.ru/catalog/kraski/kraska-interernaya-negoryuchaya-dlya-sten-i-potolkov-osnovit-tekhno-profkolor-cst993-cm2-km0/</t>
        </is>
      </c>
      <c r="O252" s="7" t="inlineStr">
        <is>
          <t>Обязательное грунтование: не гипсовое основание — Техконт LST57, гипсовое — Техконт LP58. Колеровка только пастами Основит до 1,5% массы (иначе теряется класс КМ0). Преимущество «Время высыхания 1 час» расходится с межслойной сушкой 12–24 ч в характеристиках.</t>
        </is>
      </c>
    </row>
    <row r="253">
      <c r="A253" s="7" t="inlineStr">
        <is>
          <t>Основит</t>
        </is>
      </c>
      <c r="B253" s="7" t="inlineStr">
        <is>
          <t>Сопутствующие, не сухие: Краски и эмали</t>
        </is>
      </c>
      <c r="C253" s="7" t="inlineStr">
        <is>
          <t>нет</t>
        </is>
      </c>
      <c r="D253" s="7" t="inlineStr">
        <is>
          <t>Основит Техно Профколор CST995 CM2 KM0</t>
        </is>
      </c>
      <c r="E253" s="7" t="inlineStr">
        <is>
          <t>Краска интерьерная негорючая Основит Техно Профколор CST995 CM2 KM0</t>
        </is>
      </c>
      <c r="F253" s="7" t="n">
        <v>1</v>
      </c>
      <c r="G253" s="7" t="inlineStr">
        <is>
          <t>применяется для окрашивания поверхностей стен и потолков в помещениях с высокими требованиями к пожарной безопасности (многоэтажные здания, пути эвакуации, учебные и лечебные учреждения, концертные залы, коридоры, лифты, подвалы, склады, гаражи, бизнес-центры, магазины и т.д.).</t>
        </is>
      </c>
      <c r="H253" s="7" t="inlineStr">
        <is>
          <t>25 кг, 14 кг</t>
        </is>
      </c>
      <c r="I253" s="7" t="inlineStr">
        <is>
          <t>4 м 2 /кг</t>
        </is>
      </c>
      <c r="J253" s="7" t="inlineStr"/>
      <c r="K253" s="7" t="inlineStr">
        <is>
          <t>КМ0</t>
        </is>
      </c>
      <c r="L253" s="7" t="inlineStr">
        <is>
          <t>—</t>
        </is>
      </c>
      <c r="M253" s="7" t="inlineStr">
        <is>
          <t>черная белая</t>
        </is>
      </c>
      <c r="N253" s="7" t="inlineStr">
        <is>
          <t>https://osnovit.ru/catalog/kraski/kraska-interernaya-negoryuchaya-dlya-sten-i-potolkov-osnovit-tekhno-profkolor-cst995-cm2-km0/</t>
        </is>
      </c>
      <c r="O253" s="7" t="inlineStr">
        <is>
          <t>Бейджа «Колеровка» и кнопок «Купить/Рассчитать» нет. «Система колеровки: черная белая» — по-видимому, два готовых цвета, производитель не поясняет. Основания: «Не предназначен для обработки металла и дерева». Обязательное грунтование LST57/LP58. Срок годности 12 мес (у CST993 — 24 месяца).</t>
        </is>
      </c>
    </row>
    <row r="254">
      <c r="A254" s="7" t="inlineStr">
        <is>
          <t>Основит</t>
        </is>
      </c>
      <c r="B254" s="7" t="inlineStr">
        <is>
          <t>Сопутствующие, не сухие: Краски и эмали</t>
        </is>
      </c>
      <c r="C254" s="7" t="inlineStr">
        <is>
          <t>нет</t>
        </is>
      </c>
      <c r="D254" s="7" t="inlineStr">
        <is>
          <t>Основит Техно Профколор CSt 990 T КМ0</t>
        </is>
      </c>
      <c r="E254" s="7" t="inlineStr">
        <is>
          <t>Краска интерьерная силикатная негорючая текстурная Основит Техно Профколор CSt 990 T КМ0</t>
        </is>
      </c>
      <c r="F254" s="7" t="n">
        <v>1</v>
      </c>
      <c r="G254" s="7" t="inlineStr">
        <is>
          <t>применяется для окрашивания поверхностей стен и потолков и создания финишного эксплуатируемого защитно-декоративного белого или цветного фактурного покрытия в помещениях с высокими требованиями пожарной безопасности (многоэтажные здания, пути эвакуации, учебные и лечебные учреждения, концертные залы, коридоры, лифты, подвалы, склады, гаражи, бизнес-центры, магазины и т.д.).</t>
        </is>
      </c>
      <c r="H254" s="7" t="inlineStr">
        <is>
          <t>25 кг, 14 кг</t>
        </is>
      </c>
      <c r="I254" s="7" t="inlineStr">
        <is>
          <t>0,5–2 м 2 /кг</t>
        </is>
      </c>
      <c r="J254" s="7" t="inlineStr"/>
      <c r="K254" s="7" t="inlineStr">
        <is>
          <t>класса пожарной опасности КМО (НГ)</t>
        </is>
      </c>
      <c r="L254" s="7" t="inlineStr">
        <is>
          <t>—</t>
        </is>
      </c>
      <c r="M254" s="7" t="inlineStr">
        <is>
          <t>RAL, NCS, ColorChart и другие</t>
        </is>
      </c>
      <c r="N254" s="7" t="inlineStr">
        <is>
          <t>https://osnovit.ru/catalog/kraski/kraska-interernaya-cilikatnaya-negoryuchaya-dlya-sten-i-potolkov-osnovit-tekhno-profkolor-cst-990-t-/</t>
        </is>
      </c>
      <c r="O254" s="7" t="inlineStr">
        <is>
          <t>Текстурная силикатная краска КМ0 — на грани с декоративной пастой, отнесена к paint по названию. Преимущество «Время высыхания 1 час» против межслойной сушки 12–24 ч в характеристиках. Обязательное грунтование LST57/LP58.</t>
        </is>
      </c>
    </row>
    <row r="255">
      <c r="A255" s="7" t="inlineStr">
        <is>
          <t>Основит</t>
        </is>
      </c>
      <c r="B255" s="7" t="inlineStr">
        <is>
          <t>Сопутствующие, не сухие: Краски и эмали</t>
        </is>
      </c>
      <c r="C255" s="7" t="inlineStr">
        <is>
          <t>нет</t>
        </is>
      </c>
      <c r="D255" s="7" t="inlineStr">
        <is>
          <t>Основит Техно Профколор CSt990 S КМ0</t>
        </is>
      </c>
      <c r="E255" s="7" t="inlineStr">
        <is>
          <t>Краска интерьерная негорючая структурная Основит Техно Профколор CSt990 S КМ0</t>
        </is>
      </c>
      <c r="F255" s="7" t="n">
        <v>1</v>
      </c>
      <c r="G255" s="7" t="inlineStr">
        <is>
          <t>применяется для окрашивания поверхностей стен и потолков и создания финишного эксплуатируемого защитно-декоративного белого или цветного фактурного покрытия в помещениях с высокими требованиями пожарной безопасности (многоэтажные здания, пути эвакуации, учебные и лечебные учреждения, концертные залы, коридоры, лифты, подвалы, склады, гаражи, бизнес-центры, магазины и т.д.).</t>
        </is>
      </c>
      <c r="H255" s="7" t="inlineStr">
        <is>
          <t>25 кг, 14 кг</t>
        </is>
      </c>
      <c r="I255" s="7" t="inlineStr">
        <is>
          <t>0,5–2 м 2 /кг</t>
        </is>
      </c>
      <c r="J255" s="7" t="inlineStr"/>
      <c r="K255" s="7" t="inlineStr">
        <is>
          <t>класса пожарной опасности КМО (НГ)</t>
        </is>
      </c>
      <c r="L255" s="7" t="inlineStr">
        <is>
          <t>—</t>
        </is>
      </c>
      <c r="M255" s="7" t="inlineStr">
        <is>
          <t>RAL, NCS, ColorChart и другие</t>
        </is>
      </c>
      <c r="N255" s="7" t="inlineStr">
        <is>
          <t>https://osnovit.ru/catalog/kraski/kraska-interernaya-negoryuchaya-strukturnaya-dlya-sten-i-potolkov-osnovit-tekhno-profkolor-cst990-s-/</t>
        </is>
      </c>
      <c r="O255" s="7" t="inlineStr">
        <is>
          <t>Структурная (фактурная) силикатная краска КМ0 — на грани с декоративной пастой, отнесена к paint по названию. В тексте упомянута база С, в характеристиках только база А. Бейджа «Колеровка» и кнопок покупки нет. В слове «cиликатная» первая буква латинская (так на странице).</t>
        </is>
      </c>
    </row>
    <row r="256">
      <c r="A256" s="7" t="inlineStr">
        <is>
          <t>Основит</t>
        </is>
      </c>
      <c r="B256" s="7" t="inlineStr">
        <is>
          <t>Сопутствующие, не сухие: Краски и эмали</t>
        </is>
      </c>
      <c r="C256" s="7" t="inlineStr">
        <is>
          <t>нет</t>
        </is>
      </c>
      <c r="D256" s="7" t="inlineStr">
        <is>
          <t>Основит Техно Техколор CAc990 S</t>
        </is>
      </c>
      <c r="E256" s="7" t="inlineStr">
        <is>
          <t>Краска интерьерная Основит Техно Техколор CAc990 S 25 кг</t>
        </is>
      </c>
      <c r="F256" s="7" t="n">
        <v>1</v>
      </c>
      <c r="G256" s="7" t="inlineStr">
        <is>
          <t>предназначена для создания декоративно-защитного структурного покрытия на стенах и потолках в помещениях с нормальной и повышенной влажностью.</t>
        </is>
      </c>
      <c r="H256" s="7" t="inlineStr">
        <is>
          <t>25 кг</t>
        </is>
      </c>
      <c r="I256" s="7" t="inlineStr">
        <is>
          <t>1-1,2 м 2 /кг</t>
        </is>
      </c>
      <c r="J256" s="7" t="inlineStr"/>
      <c r="K256" s="7" t="inlineStr"/>
      <c r="L256" s="7" t="inlineStr">
        <is>
          <t>—</t>
        </is>
      </c>
      <c r="M256" s="7" t="inlineStr">
        <is>
          <t>ColorChart, ColorChart Studio, NCS, Ral</t>
        </is>
      </c>
      <c r="N256" s="7" t="inlineStr">
        <is>
          <t>https://osnovit.ru/catalog/kraski/kraska-interernaya-osnovit-tekhno-tekhkolor-cac990-s-/</t>
        </is>
      </c>
      <c r="O256" s="7" t="inlineStr">
        <is>
          <t>Структурная краска (рисунок валиками/шпателями) — на грани с готовой декоративной штукатуркой, отнесена к paint по названию. Фасовка только в названии (25 кг), поля «Упаковка» нет. Кнопок «Купить/Рассчитать» на странице нет. Метка «Колеровка» стоит под заголовком в позиции бейджа. Документы «Техническая характеристика», «Сертификат» — без ссылок.</t>
        </is>
      </c>
    </row>
    <row r="257">
      <c r="A257" s="7" t="inlineStr">
        <is>
          <t>Основит</t>
        </is>
      </c>
      <c r="B257" s="7" t="inlineStr">
        <is>
          <t>Сопутствующие, не сухие: Краски и эмали</t>
        </is>
      </c>
      <c r="C257" s="7" t="inlineStr">
        <is>
          <t>нет</t>
        </is>
      </c>
      <c r="D257" s="7" t="inlineStr">
        <is>
          <t>Основит Техно Техколор СAc993 СМ2</t>
        </is>
      </c>
      <c r="E257" s="7" t="inlineStr">
        <is>
          <t>Краска интерьерная моющаяся Основит Техно Техколор СAc993 СМ2 25 кг</t>
        </is>
      </c>
      <c r="F257" s="7" t="n">
        <v>1</v>
      </c>
      <c r="G257" s="7" t="inlineStr">
        <is>
          <t>Предназначена для окрашивания стен и потолков в помещениях с нормальной и повышенной влажностью.</t>
        </is>
      </c>
      <c r="H257" s="7" t="inlineStr">
        <is>
          <t>25 кг, 14 кг</t>
        </is>
      </c>
      <c r="I257" s="7" t="inlineStr">
        <is>
          <t>5,5–8 м 2 /кг</t>
        </is>
      </c>
      <c r="J257" s="7" t="inlineStr"/>
      <c r="K257" s="7" t="inlineStr">
        <is>
          <t>3 класс износостойкости к истиранию по стандарту ISO 11998/DIN EN 13300</t>
        </is>
      </c>
      <c r="L257" s="7" t="inlineStr">
        <is>
          <t>—</t>
        </is>
      </c>
      <c r="M257" s="7" t="inlineStr">
        <is>
          <t>RAL, NCS, ColorChart и другие</t>
        </is>
      </c>
      <c r="N257" s="7" t="inlineStr">
        <is>
          <t>https://osnovit.ru/catalog/kraski/tekhno-tekhkolor-sac993-sm2/</t>
        </is>
      </c>
      <c r="O257" s="7" t="inlineStr">
        <is>
          <t>Описание «супербелая совершенно матовая» дословно совпадает с описанием Лайтколор САс995 СМ2, а в характеристиках блеск «Глубокоматовая»; в разделе «Уход» — устойчивость к мытью «неабразивными» средствами. В коде модели смешаны кириллица и латиница (СAc993 СМ2). В названии 25 кг, в «Упаковка» — 25 кг, 14 кг.</t>
        </is>
      </c>
    </row>
    <row r="258">
      <c r="A258" s="7" t="inlineStr">
        <is>
          <t>Основит</t>
        </is>
      </c>
      <c r="B258" s="7" t="inlineStr">
        <is>
          <t>Сопутствующие, не сухие: Краски и эмали</t>
        </is>
      </c>
      <c r="C258" s="7" t="inlineStr">
        <is>
          <t>нет</t>
        </is>
      </c>
      <c r="D258" s="7" t="inlineStr">
        <is>
          <t>Основит Унивита CSl93</t>
        </is>
      </c>
      <c r="E258" s="7" t="inlineStr">
        <is>
          <t>Краска силиконовая фасадная Основит Унивита СSl93 9 л</t>
        </is>
      </c>
      <c r="F258" s="7" t="n">
        <v>1</v>
      </c>
      <c r="G258" s="7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H258" s="7" t="inlineStr">
        <is>
          <t>13 кг (9 л)</t>
        </is>
      </c>
      <c r="I258" s="7" t="inlineStr">
        <is>
          <t>4–5 м 2 /1 л</t>
        </is>
      </c>
      <c r="J258" s="7" t="inlineStr"/>
      <c r="K258" s="7" t="inlineStr"/>
      <c r="L258" s="7" t="inlineStr">
        <is>
          <t>—</t>
        </is>
      </c>
      <c r="M258" s="7" t="inlineStr">
        <is>
          <t>Супербелая или колерованная</t>
        </is>
      </c>
      <c r="N258" s="7" t="inlineStr">
        <is>
          <t>https://osnovit.ru/catalog/kraski/univita-ssl93/</t>
        </is>
      </c>
      <c r="O258" s="7" t="inlineStr">
        <is>
          <t>Готовая краска. Код в названии «СSl93» с кириллической «С»; в product_code/series_key приведён к латинице. Нет кнопок «Купить/Рассчитать».</t>
        </is>
      </c>
    </row>
    <row r="259">
      <c r="A259" s="7" t="inlineStr">
        <is>
          <t>Основит</t>
        </is>
      </c>
      <c r="B259" s="7" t="inlineStr">
        <is>
          <t>Сопутствующие, не сухие: Краски и эмали</t>
        </is>
      </c>
      <c r="C259" s="7" t="inlineStr">
        <is>
          <t>нет</t>
        </is>
      </c>
      <c r="D259" s="7" t="inlineStr">
        <is>
          <t>Основит Унивита CSl93 Ic</t>
        </is>
      </c>
      <c r="E259" s="7" t="inlineStr">
        <is>
          <t>Краска силиконовая фасадная с ингибитором коррозии Основит Унивита СSl93 Ic 9 л</t>
        </is>
      </c>
      <c r="F259" s="7" t="n">
        <v>1</v>
      </c>
      <c r="G259" s="7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H259" s="7" t="inlineStr">
        <is>
          <t>13 кг (9л)</t>
        </is>
      </c>
      <c r="I259" s="7" t="inlineStr">
        <is>
          <t>0,2-0,3 л/м²</t>
        </is>
      </c>
      <c r="J259" s="7" t="inlineStr"/>
      <c r="K259" s="7" t="inlineStr">
        <is>
          <t>ГОСТ 30244-94</t>
        </is>
      </c>
      <c r="L259" s="7" t="inlineStr">
        <is>
          <t>—</t>
        </is>
      </c>
      <c r="M259" s="7" t="inlineStr"/>
      <c r="N259" s="7" t="inlineStr">
        <is>
          <t>https://osnovit.ru/catalog/kraski/osnovit-univita-ssl93-ic-kraska-silikonovaya-fasadnaya-s-ingibitorom-korrozii/</t>
        </is>
      </c>
      <c r="O259" s="7" t="inlineStr">
        <is>
          <t>Готовая краска. В тексте применения код записан как «ССЛ93 Ик» (кириллицей). Отдельный товар от СSl93 без ингибитора.</t>
        </is>
      </c>
    </row>
    <row r="260">
      <c r="A260" s="7" t="inlineStr">
        <is>
          <t>Основит</t>
        </is>
      </c>
      <c r="B260" s="7" t="inlineStr">
        <is>
          <t>Сопутствующие, не сухие: Краски и эмали</t>
        </is>
      </c>
      <c r="C260" s="7" t="inlineStr">
        <is>
          <t>нет</t>
        </is>
      </c>
      <c r="D260" s="7" t="inlineStr">
        <is>
          <t>Основит Унивита CSt92</t>
        </is>
      </c>
      <c r="E260" s="7" t="inlineStr">
        <is>
          <t>Краска силикатная фасадная Основит Унивита CSt92 9 л</t>
        </is>
      </c>
      <c r="F260" s="7" t="n">
        <v>1</v>
      </c>
      <c r="G260" s="7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H260" s="7" t="inlineStr">
        <is>
          <t>13 кг (9 л)</t>
        </is>
      </c>
      <c r="I260" s="7" t="inlineStr">
        <is>
          <t>4–5 м 2 /1 л</t>
        </is>
      </c>
      <c r="J260" s="7" t="inlineStr"/>
      <c r="K260" s="7" t="inlineStr"/>
      <c r="L260" s="7" t="inlineStr">
        <is>
          <t>—</t>
        </is>
      </c>
      <c r="M260" s="7" t="inlineStr"/>
      <c r="N260" s="7" t="inlineStr">
        <is>
          <t>https://osnovit.ru/catalog/kraski/univita-cst92/</t>
        </is>
      </c>
      <c r="O260" s="7" t="inlineStr">
        <is>
          <t>Готовая краска, не сухая смесь. На странице нет кнопок «Купить/Рассчитать» (у соседних карточек есть). Версия с ингибитором коррозии CSt92 Ic — отдельная карточка с другими характеристиками.</t>
        </is>
      </c>
    </row>
    <row r="261">
      <c r="A261" s="7" t="inlineStr">
        <is>
          <t>Основит</t>
        </is>
      </c>
      <c r="B261" s="7" t="inlineStr">
        <is>
          <t>Сопутствующие, не сухие: Краски и эмали</t>
        </is>
      </c>
      <c r="C261" s="7" t="inlineStr">
        <is>
          <t>нет</t>
        </is>
      </c>
      <c r="D261" s="7" t="inlineStr">
        <is>
          <t>Основит Унивита CSt92 Ic</t>
        </is>
      </c>
      <c r="E261" s="7" t="inlineStr">
        <is>
          <t>Краска силикатная фасадная с ингибитором коррозии Основит Унивита CSt92 Ic 9 л</t>
        </is>
      </c>
      <c r="F261" s="7" t="n">
        <v>1</v>
      </c>
      <c r="G261" s="7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H261" s="7" t="inlineStr">
        <is>
          <t>13 кг (9л)</t>
        </is>
      </c>
      <c r="I261" s="7" t="inlineStr">
        <is>
          <t>0,2-0,3 л/м²</t>
        </is>
      </c>
      <c r="J261" s="7" t="inlineStr"/>
      <c r="K261" s="7" t="inlineStr">
        <is>
          <t>ГОСТ 30244-94</t>
        </is>
      </c>
      <c r="L261" s="7" t="inlineStr">
        <is>
          <t>—</t>
        </is>
      </c>
      <c r="M261" s="7" t="inlineStr"/>
      <c r="N261" s="7" t="inlineStr">
        <is>
          <t>https://osnovit.ru/catalog/kraski/osnovit-univita-sst92-ic-kraska-silikatnaya-fasadnaya-s-ingibitorom-korrozii/</t>
        </is>
      </c>
      <c r="O261" s="7" t="inlineStr">
        <is>
          <t>Готовая краска. В заголовке код латиницей «CSt92 Ic», в тексте применения «СSt92» с кириллической «С». В сноске про время высыхания влажность 80% (у остальных красок пачки 65%). Отдельный товар от CSt92 без ингибитора.</t>
        </is>
      </c>
    </row>
    <row r="262">
      <c r="A262" s="7" t="inlineStr">
        <is>
          <t>Основит</t>
        </is>
      </c>
      <c r="B262" s="7" t="inlineStr">
        <is>
          <t>Сопутствующие, не сухие: Краски и эмали</t>
        </is>
      </c>
      <c r="C262" s="7" t="inlineStr">
        <is>
          <t>нет</t>
        </is>
      </c>
      <c r="D262" s="7" t="inlineStr">
        <is>
          <t>Основит Унивита SAc91</t>
        </is>
      </c>
      <c r="E262" s="7" t="inlineStr">
        <is>
          <t>Краска акриловая фасадная Основит Унивита САс91 9 л</t>
        </is>
      </c>
      <c r="F262" s="7" t="n">
        <v>1</v>
      </c>
      <c r="G262" s="7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H262" s="7" t="inlineStr">
        <is>
          <t>13 кг (9 л)</t>
        </is>
      </c>
      <c r="I262" s="7" t="inlineStr">
        <is>
          <t>4–5 м 2 /1 л</t>
        </is>
      </c>
      <c r="J262" s="7" t="inlineStr"/>
      <c r="K262" s="7" t="inlineStr"/>
      <c r="L262" s="7" t="inlineStr">
        <is>
          <t>—</t>
        </is>
      </c>
      <c r="M262" s="7" t="inlineStr"/>
      <c r="N262" s="7" t="inlineStr">
        <is>
          <t>https://osnovit.ru/catalog/kraski/univita-sas91/</t>
        </is>
      </c>
      <c r="O262" s="7" t="inlineStr">
        <is>
          <t>Не сухая смесь — готовая краска (база под колеровку). Код в названии написан кириллицей «САс91»; в product_code/series_key приведён к латинице. «Колеровка» — плашка под заголовком, как «Новинка». Версия с ингибитором коррозии (СAc91 Ic) — отдельный товар с другими характеристиками. Для сайта сухих смесей, вероятно, вне ассортимента.</t>
        </is>
      </c>
    </row>
    <row r="263">
      <c r="A263" s="7" t="inlineStr">
        <is>
          <t>Основит</t>
        </is>
      </c>
      <c r="B263" s="7" t="inlineStr">
        <is>
          <t>Сопутствующие, не сухие: Краски и эмали</t>
        </is>
      </c>
      <c r="C263" s="7" t="inlineStr">
        <is>
          <t>нет</t>
        </is>
      </c>
      <c r="D263" s="7" t="inlineStr">
        <is>
          <t>Основит Унивита SAc91 Ic</t>
        </is>
      </c>
      <c r="E263" s="7" t="inlineStr">
        <is>
          <t>Краска акриловая фасадная с ингибитором коррозии Основит Унивита СAc91 Ic 9 л</t>
        </is>
      </c>
      <c r="F263" s="7" t="n">
        <v>1</v>
      </c>
      <c r="G263" s="7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H263" s="7" t="inlineStr">
        <is>
          <t>13 кг (9л)</t>
        </is>
      </c>
      <c r="I263" s="7" t="inlineStr">
        <is>
          <t>0,2-0,3 л/м²</t>
        </is>
      </c>
      <c r="J263" s="7" t="inlineStr"/>
      <c r="K263" s="7" t="inlineStr">
        <is>
          <t>ГОСТ 30244-94</t>
        </is>
      </c>
      <c r="L263" s="7" t="inlineStr">
        <is>
          <t>—</t>
        </is>
      </c>
      <c r="M263" s="7" t="inlineStr"/>
      <c r="N263" s="7" t="inlineStr">
        <is>
          <t>https://osnovit.ru/catalog/kraski/osnovit-univita-sac91-ic-kraska-akrilovaya-fasadnaya-s-ingibitorom-korrozii/</t>
        </is>
      </c>
      <c r="O263" s="7" t="inlineStr">
        <is>
          <t>Готовая краска, не сухая смесь. Код в названии смешанным письмом («С» кириллицей + «Ac» латиницей); в product_code/series_key приведён к латинице. Расход указан в л/м² (у версии без Ic — в м²/л). Отдельный товар от САс91 без ингибитора.</t>
        </is>
      </c>
    </row>
    <row r="264">
      <c r="A264" s="7" t="inlineStr">
        <is>
          <t>Основит</t>
        </is>
      </c>
      <c r="B264" s="7" t="inlineStr">
        <is>
          <t>Сопутствующие, не сухие: Полимерные покрытия</t>
        </is>
      </c>
      <c r="C264" s="7" t="inlineStr">
        <is>
          <t>нет</t>
        </is>
      </c>
      <c r="D264" s="7" t="inlineStr">
        <is>
          <t>Основит Гардлайн FE01</t>
        </is>
      </c>
      <c r="E264" s="7" t="inlineStr">
        <is>
          <t>Пол полимерный финишный Основит Гардлайн FE01 (комплект)</t>
        </is>
      </c>
      <c r="F264" s="7" t="n">
        <v>1</v>
      </c>
      <c r="G264" s="7" t="inlineStr">
        <is>
          <t>прочное декоративное покрытие, защищённое от появления пыли и трещин, а также стойкое к химическим и механическим воздействиям.</t>
        </is>
      </c>
      <c r="H264" s="7" t="inlineStr">
        <is>
          <t>Комплексное решение: грунт, покрытие, флоки, кисть, палочки для перемешивания, перчатки</t>
        </is>
      </c>
      <c r="I264" s="7" t="inlineStr">
        <is>
          <t>1,25 кг*</t>
        </is>
      </c>
      <c r="J264" s="7" t="inlineStr">
        <is>
          <t>0,2-20</t>
        </is>
      </c>
      <c r="K264" s="7" t="inlineStr"/>
      <c r="L264" s="7" t="inlineStr">
        <is>
          <t>—</t>
        </is>
      </c>
      <c r="M264" s="7" t="inlineStr"/>
      <c r="N264" s="7" t="inlineStr">
        <is>
          <t>https://osnovit.ru/catalog/polimernye-pokrytiya/guardline/</t>
        </is>
      </c>
      <c r="O264" s="7" t="inlineStr">
        <is>
          <t>Не сухая смесь: эпоксидный комплект (грунт А1+В1, покрытие А2+В2, флоки, инструмент). Характеристики даны отдельно для грунта и покрытия; consumption_quote — расход покрытия (А2+В2) на 1 м² при слое 1 мм, у грунта «1 кг*». Масса комплекта не указана. Ядро не выделилось — взято из полного текста.</t>
        </is>
      </c>
    </row>
    <row r="265">
      <c r="A265" s="7" t="inlineStr">
        <is>
          <t>Основит</t>
        </is>
      </c>
      <c r="B265" s="7" t="inlineStr">
        <is>
          <t>Сопутствующие, не сухие: Прочее</t>
        </is>
      </c>
      <c r="C265" s="7" t="inlineStr">
        <is>
          <t>нет</t>
        </is>
      </c>
      <c r="D265" s="7" t="inlineStr">
        <is>
          <t>Основит Акваскрин HB70</t>
        </is>
      </c>
      <c r="E265" s="7" t="inlineStr">
        <is>
          <t>Лента гидроизоляционная армированная сеткой в коробе Основит Акваскрин HB70</t>
        </is>
      </c>
      <c r="F265" s="7" t="n">
        <v>1</v>
      </c>
      <c r="G265" s="7" t="inlineStr">
        <is>
          <t>Применяется для гидроизоляции внутренних и внешних углов, мест сопряжений «пол-стена», деформационных швов, выводов труб, сливных отверстий во влажных помещениях и сооружениях: санузлах, душевых, балконах, террасах, производственных помещениях и т.д.</t>
        </is>
      </c>
      <c r="H265" s="7" t="inlineStr"/>
      <c r="I265" s="7" t="inlineStr"/>
      <c r="J265" s="7" t="inlineStr"/>
      <c r="K265" s="7" t="inlineStr"/>
      <c r="L265" s="7" t="inlineStr">
        <is>
          <t>—</t>
        </is>
      </c>
      <c r="M265" s="7" t="inlineStr"/>
      <c r="N265" s="7" t="inlineStr">
        <is>
          <t>https://osnovit.ru/catalog/gidroizolyatsiya/gidroizolyatsionnaya-lenta-armirovannaya-setkoy-v-korobe-osnovit-akvaskrin-hb70-10-m/</t>
        </is>
      </c>
      <c r="O265" s="7" t="inlineStr">
        <is>
          <t>Не смесь — сопутствующая гидроизоляционная лента (в каталоге раздел «Сопутствующие товары»), тип other. Фасовка — длина рулона 10 или 50 м («Длина, м»), отдельной строки об упаковке нет. Применяется с готовой гидроизоляцией HA64.</t>
        </is>
      </c>
    </row>
    <row r="266">
      <c r="A266" s="7" t="inlineStr">
        <is>
          <t>Perel</t>
        </is>
      </c>
      <c r="B266" s="7" t="inlineStr">
        <is>
          <t>Сопутствующие, не сухие: Средства от высолов</t>
        </is>
      </c>
      <c r="C266" s="7" t="inlineStr">
        <is>
          <t>нет</t>
        </is>
      </c>
      <c r="D266" s="7" t="inlineStr">
        <is>
          <t>Perel Spazzino</t>
        </is>
      </c>
      <c r="E266" s="7" t="inlineStr">
        <is>
          <t>Perel Spazzino, 5 л</t>
        </is>
      </c>
      <c r="F266" s="7" t="n">
        <v>2</v>
      </c>
      <c r="G266" s="7" t="inlineStr">
        <is>
          <t>Специализированный состав на основе низкопроцентных кислот для очистки фасада, кирпича, плитки, натурального или искусственного камня.</t>
        </is>
      </c>
      <c r="H266" s="7" t="inlineStr">
        <is>
          <t>10 л</t>
        </is>
      </c>
      <c r="I266" s="7" t="inlineStr">
        <is>
          <t>Расход: 250-300 мг/м²</t>
        </is>
      </c>
      <c r="J266" s="7" t="inlineStr"/>
      <c r="K266" s="7" t="inlineStr"/>
      <c r="L266" s="7" t="inlineStr">
        <is>
          <t>—</t>
        </is>
      </c>
      <c r="M266" s="7" t="inlineStr"/>
      <c r="N266" s="7" t="inlineStr">
        <is>
          <t>https://td-perel.ru/catalog/sredstvo-dlya-udaleniya-vysolov/perel-impregno/</t>
        </is>
      </c>
      <c r="O266" s="7" t="inlineStr">
        <is>
          <t>SKU 5 л той же серии, что Spazzino 10 л (id perel__catalog__sredstvo-dlya-udaleniya-vysolov__perel-impregno6531), текст идентичен. Расход «мг/м²» — вероятно опечатка производителя. Слаг URL «perel-impregno» не соответствует товару. Блока характеристик нет.</t>
        </is>
      </c>
    </row>
    <row r="267">
      <c r="A267" s="7" t="inlineStr">
        <is>
          <t>Perel</t>
        </is>
      </c>
      <c r="B267" s="7" t="inlineStr">
        <is>
          <t>Сопутствующие, не сухие: Средства от высолов</t>
        </is>
      </c>
      <c r="C267" s="7" t="inlineStr">
        <is>
          <t>нет</t>
        </is>
      </c>
      <c r="D267" s="7" t="inlineStr">
        <is>
          <t>Perel Spazzino Prima</t>
        </is>
      </c>
      <c r="E267" s="7" t="inlineStr">
        <is>
          <t>Perel Spazzino Prima, 10 л, концентрат</t>
        </is>
      </c>
      <c r="F267" s="7" t="n">
        <v>2</v>
      </c>
      <c r="G267" s="7" t="inlineStr">
        <is>
          <t>Применяется для очистки стен из кирпича, плитки, натурального или искусственного камня внутри и снаружи помещений. Эффективен против солей любой природы.</t>
        </is>
      </c>
      <c r="H267" s="7" t="inlineStr">
        <is>
          <t>10 л</t>
        </is>
      </c>
      <c r="I267" s="7" t="inlineStr"/>
      <c r="J267" s="7" t="inlineStr"/>
      <c r="K267" s="7" t="inlineStr"/>
      <c r="L267" s="7" t="inlineStr">
        <is>
          <t>—</t>
        </is>
      </c>
      <c r="M267" s="7" t="inlineStr"/>
      <c r="N267" s="7" t="inlineStr">
        <is>
          <t>https://td-perel.ru/catalog/sredstvo-dlya-udaleniya-vysolov/perel-impregno99968760/</t>
        </is>
      </c>
      <c r="O267" s="7" t="inlineStr">
        <is>
          <t>Жидкий концентрат, разбавляется водой «вплоть до 1:1». Артикула и блока характеристик нет; объём только в заголовке. URL карточки «perel-impregno99968760» не совпадает с названием (Spazzino Prima), раздел — «Средство для удаления высолов».</t>
        </is>
      </c>
    </row>
    <row r="268">
      <c r="A268" s="7" t="inlineStr">
        <is>
          <t>Основит</t>
        </is>
      </c>
      <c r="B268" s="7" t="inlineStr">
        <is>
          <t>Сопутствующие, не сухие: Средства от высолов</t>
        </is>
      </c>
      <c r="C268" s="7" t="inlineStr">
        <is>
          <t>нет</t>
        </is>
      </c>
      <c r="D268" s="7" t="inlineStr">
        <is>
          <t>Основит Сэйфскрин SAD1</t>
        </is>
      </c>
      <c r="E268" s="7" t="inlineStr">
        <is>
          <t>Средство для удаления высолов Основит Сэйфскрин SAD1 5 л</t>
        </is>
      </c>
      <c r="F268" s="7" t="n">
        <v>1</v>
      </c>
      <c r="G268" s="7" t="inlineStr">
        <is>
          <t>Средство для удаления высолов ОСНОВИТ СЭЙФСКИН SАD1 предназначено для очистки солевых отложений (высолов), цементного и известкового налёта, остатков цементного раствора и атмосферных загрязнений.</t>
        </is>
      </c>
      <c r="H268" s="7" t="inlineStr">
        <is>
          <t>Объём упаковки
5 л</t>
        </is>
      </c>
      <c r="I268" s="7" t="inlineStr">
        <is>
          <t>от 100 мл/м²</t>
        </is>
      </c>
      <c r="J268" s="7" t="inlineStr"/>
      <c r="K268" s="7" t="inlineStr"/>
      <c r="L268" s="7" t="inlineStr">
        <is>
          <t>—</t>
        </is>
      </c>
      <c r="M268" s="7" t="inlineStr"/>
      <c r="N268" s="7" t="inlineStr">
        <is>
          <t>https://osnovit.ru/catalog/spetsialnye-rastvory/seyfskin-sad1/</t>
        </is>
      </c>
      <c r="O268" s="7" t="inlineStr">
        <is>
          <t>Жидкость. В тексте «СЭЙФСКИН SАD1»: «СЭЙФСКИН» — опечатка производителя, в коде, похоже, кириллическая «А». Документация (Описание, Техкарта, Сертификат) — в pdfs нет.</t>
        </is>
      </c>
    </row>
    <row r="269">
      <c r="A269" s="7" t="inlineStr">
        <is>
          <t>Perel</t>
        </is>
      </c>
      <c r="B269" s="7" t="inlineStr">
        <is>
          <t>Сопутствующие, не сухие: Шпаклёвки готовые (пасты)</t>
        </is>
      </c>
      <c r="C269" s="7" t="inlineStr">
        <is>
          <t>нет</t>
        </is>
      </c>
      <c r="D269" s="7" t="inlineStr">
        <is>
          <t>Perel Rinzaffo</t>
        </is>
      </c>
      <c r="E269" s="7" t="inlineStr">
        <is>
          <t>Perel Rinzaffo, супер-белая, 16 кг, готовая финишная шпатлевка</t>
        </is>
      </c>
      <c r="F269" s="7" t="n">
        <v>1</v>
      </c>
      <c r="G269" s="7" t="inlineStr">
        <is>
          <t>Применяется для идеального финишного выравнивания стен и потолков, заделки трещин и швов ГКЛ или ПГП, а так же подготовки поверхностей под покраску.</t>
        </is>
      </c>
      <c r="H269" s="7" t="inlineStr">
        <is>
          <t>16 кг</t>
        </is>
      </c>
      <c r="I269" s="7" t="inlineStr"/>
      <c r="J269" s="7" t="inlineStr">
        <is>
          <t>Толщина наносимого слоя не должна превышать 3 мм.</t>
        </is>
      </c>
      <c r="K269" s="7" t="inlineStr"/>
      <c r="L269" s="7" t="inlineStr">
        <is>
          <t>—</t>
        </is>
      </c>
      <c r="M269" s="7" t="inlineStr"/>
      <c r="N269" s="7" t="inlineStr">
        <is>
          <t>https://td-perel.ru/catalog/gotovye_shpaklevki/gotovaya-finishnaya-shpatlevka-perel-rinzaffo-superbelaya-16-kg/</t>
        </is>
      </c>
      <c r="O269" s="7" t="inlineStr">
        <is>
          <t>Фасовка указана только в названии («16 кг»), отдельного раздела нет. Для внутренних или наружных работ — не сказано. Расход не указан. Остаток «10000000000 шт» — явная заглушка. Артикул «-».</t>
        </is>
      </c>
    </row>
    <row r="270">
      <c r="A270" s="7" t="inlineStr">
        <is>
          <t>Основит</t>
        </is>
      </c>
      <c r="B270" s="7" t="inlineStr">
        <is>
          <t>Сопутствующие, не сухие: Шпаклёвки готовые (пасты)</t>
        </is>
      </c>
      <c r="C270" s="7" t="inlineStr">
        <is>
          <t>нет</t>
        </is>
      </c>
      <c r="D270" s="7" t="inlineStr">
        <is>
          <t>Основит Эконсилк PA391 MW</t>
        </is>
      </c>
      <c r="E270" s="7" t="inlineStr">
        <is>
          <t>Шпаклевка финишная полимерная готовая Основит Эконсилк PA391 MW 28 кг</t>
        </is>
      </c>
      <c r="F270" s="7" t="n">
        <v>1</v>
      </c>
      <c r="G270" s="7" t="inlineStr">
        <is>
          <t>предназначена для выравнивания стен и потолков внутри сухих и влажных отапливаемых помещений, для создания гладкой поверхности высокого качества под окрашивание, оклеивание обоями. Возможно использование для заделки швов и стыков.</t>
        </is>
      </c>
      <c r="H270" s="7" t="inlineStr">
        <is>
          <t>28 кг</t>
        </is>
      </c>
      <c r="I270" s="7" t="inlineStr">
        <is>
          <t>1,6 кг/м²</t>
        </is>
      </c>
      <c r="J270" s="7" t="inlineStr">
        <is>
          <t>0,12-2 мм</t>
        </is>
      </c>
      <c r="K270" s="7" t="inlineStr"/>
      <c r="L270" s="7" t="inlineStr">
        <is>
          <t>—</t>
        </is>
      </c>
      <c r="M270" s="7" t="inlineStr"/>
      <c r="N270" s="7" t="inlineStr">
        <is>
          <t>https://osnovit.ru/catalog/shpaklevki/shpaklevka-polimernaya-finishnaya-osnovit-ekonsilk-pa391-mw-gotovaya/</t>
        </is>
      </c>
      <c r="O270" s="7" t="inlineStr">
        <is>
          <t>Готовая полимерная паста. В тексте код набран со смешением алфавитов («PА391 МW» — кириллические А и М). Цвет в характеристиках не указан; степень белизны «≥87». Толщина 0,12-2 мм при сплошном, до 4 мм при локальном выравнивании. Расход при слое 1 мм.</t>
        </is>
      </c>
    </row>
    <row r="271">
      <c r="A271" s="7" t="inlineStr">
        <is>
          <t>Основит</t>
        </is>
      </c>
      <c r="B271" s="7" t="inlineStr">
        <is>
          <t>Сопутствующие, не сухие: Шпаклёвки готовые (пасты)</t>
        </is>
      </c>
      <c r="C271" s="7" t="inlineStr">
        <is>
          <t>нет</t>
        </is>
      </c>
      <c r="D271" s="7" t="inlineStr">
        <is>
          <t>Основит Элисилк PA39 H</t>
        </is>
      </c>
      <c r="E271" s="7" t="inlineStr">
        <is>
          <t>Шпаклевка готовая ремонтная армированная Основит Элисилк PA39 H 1 кг</t>
        </is>
      </c>
      <c r="F271" s="7" t="n">
        <v>1</v>
      </c>
      <c r="G271" s="7" t="inlineStr">
        <is>
          <t>готовая к применению предназначена для быстрого ремонта оснований. Рекомендуется для заделки швов и стыков ГКЛ и ГВЛ, заполнения локальных выбоин, углублений и неровностей в основании, впадин с саморезами, а также для устранения сколов на углах, восстановления геометрии конструкций, заполнения трещин за одно нанесение.</t>
        </is>
      </c>
      <c r="H271" s="7" t="inlineStr">
        <is>
          <t>1 кг</t>
        </is>
      </c>
      <c r="I271" s="7" t="inlineStr">
        <is>
          <t>1,1 кг/м²</t>
        </is>
      </c>
      <c r="J271" s="7" t="inlineStr">
        <is>
          <t>0,2-6 мм</t>
        </is>
      </c>
      <c r="K271" s="7" t="inlineStr"/>
      <c r="L271" s="7" t="inlineStr">
        <is>
          <t>—</t>
        </is>
      </c>
      <c r="M271" s="7" t="inlineStr"/>
      <c r="N271" s="7" t="inlineStr">
        <is>
          <t>https://osnovit.ru/catalog/shpaklevki/gotovaya-armirovannaya-shpaklevka-dlya-remontnykh-rabot-osnovit-elisilk-ra39-h-1-kg/</t>
        </is>
      </c>
      <c r="O271" s="7" t="inlineStr">
        <is>
          <t>Готовая армированная ремонтная паста, основа (связующее) не названа. Расход при слое 1 мм (со сноской *), время высыхания «6 часа» (со сноской **) — тексты сносок в выгрузке отсутствуют. В тексте код «РА39» с кириллическими Р и А. В сопутствующих — «Шпаклевка гипсовая Стройбриг Генфир PG 35 MW».</t>
        </is>
      </c>
    </row>
    <row r="272">
      <c r="A272" s="7" t="inlineStr">
        <is>
          <t>Основит</t>
        </is>
      </c>
      <c r="B272" s="7" t="inlineStr">
        <is>
          <t>Сопутствующие, не сухие: Шпаклёвки готовые (пасты)</t>
        </is>
      </c>
      <c r="C272" s="7" t="inlineStr">
        <is>
          <t>нет</t>
        </is>
      </c>
      <c r="D272" s="7" t="inlineStr">
        <is>
          <t>Основит Элисилк PA39 W</t>
        </is>
      </c>
      <c r="E272" s="7" t="inlineStr">
        <is>
          <t>Шпаклевка готовая суперфинишная супербелая Основит Элисилк PA39 W</t>
        </is>
      </c>
      <c r="F272" s="7" t="n">
        <v>1</v>
      </c>
      <c r="G272" s="7" t="inlineStr">
        <is>
          <t>Шпаклевка готовая суперфинишная ОСНОВИТ ЭЛИСИЛК PA39 W предназначена для выравнивания стен и потолков внутри сухих и влажных отапливаемых помещений, для создания идеально гладкой поверхности высокого качества под окрашивание, нанесение венецианской штукатурки, оклеивание обоями.</t>
        </is>
      </c>
      <c r="H272" s="7" t="inlineStr">
        <is>
          <t>1, 5, 16, 28 кг</t>
        </is>
      </c>
      <c r="I272" s="7" t="inlineStr">
        <is>
          <t>1,6 кг/м²</t>
        </is>
      </c>
      <c r="J272" s="7" t="inlineStr">
        <is>
          <t>до 2 мм за один проход</t>
        </is>
      </c>
      <c r="K272" s="7" t="inlineStr"/>
      <c r="L272" s="7" t="inlineStr">
        <is>
          <t>—</t>
        </is>
      </c>
      <c r="M272" s="7" t="inlineStr"/>
      <c r="N272" s="7" t="inlineStr">
        <is>
          <t>https://osnovit.ru/catalog/shpaklevki/elisilk-pa39-w/</t>
        </is>
      </c>
      <c r="O272" s="7" t="inlineStr">
        <is>
          <t>Основная карточка PA39 W (разделы «Шпаклевка» и «Готовые шпаклевки»), с полным описанием и инструкцией. Дубли этого товара в пачке — shpaklevki-gotovye/...-pa39-w и ...-pa39-w-5, у них расходятся данные: белизна 95% против 90% здесь, применение «внутри сухих помещений» против «сухих и влажных» здесь. Четыре фасовки 1/5/16/28 кг.</t>
        </is>
      </c>
    </row>
  </sheetData>
  <autoFilter ref="A1:O272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6" customWidth="1" min="3" max="3"/>
    <col width="28" customWidth="1" min="4" max="4"/>
    <col width="22" customWidth="1" min="5" max="5"/>
    <col width="22" customWidth="1" min="6" max="6"/>
    <col width="8" customWidth="1" min="7" max="7"/>
    <col width="60" customWidth="1" min="8" max="8"/>
    <col width="22" customWidth="1" min="9" max="9"/>
    <col width="30" customWidth="1" min="10" max="10"/>
    <col width="16" customWidth="1" min="11" max="11"/>
    <col width="50" customWidth="1" min="12" max="12"/>
  </cols>
  <sheetData>
    <row r="1" ht="32" customHeight="1">
      <c r="A1" s="6" t="inlineStr">
        <is>
          <t>Производитель</t>
        </is>
      </c>
      <c r="B1" s="6" t="inlineStr">
        <is>
          <t>Тип страницы</t>
        </is>
      </c>
      <c r="C1" s="6" t="inlineStr">
        <is>
          <t>Название (h1)</t>
        </is>
      </c>
      <c r="D1" s="6" t="inlineStr">
        <is>
          <t>Товар</t>
        </is>
      </c>
      <c r="E1" s="6" t="inlineStr">
        <is>
          <t>Вариант</t>
        </is>
      </c>
      <c r="F1" s="6" t="inlineStr">
        <is>
          <t>Наш тип</t>
        </is>
      </c>
      <c r="G1" s="6" t="inlineStr">
        <is>
          <t>Сухая</t>
        </is>
      </c>
      <c r="H1" s="6" t="inlineStr">
        <is>
          <t>Назначение — дословно</t>
        </is>
      </c>
      <c r="I1" s="6" t="inlineStr">
        <is>
          <t>Фасовка — дословно</t>
        </is>
      </c>
      <c r="J1" s="6" t="inlineStr">
        <is>
          <t>Расход — дословно</t>
        </is>
      </c>
      <c r="K1" s="6" t="inlineStr">
        <is>
          <t>Метки</t>
        </is>
      </c>
      <c r="L1" s="6" t="inlineStr">
        <is>
          <t>Ссылка</t>
        </is>
      </c>
    </row>
    <row r="2">
      <c r="A2" s="8" t="inlineStr">
        <is>
          <t>Dauer</t>
        </is>
      </c>
      <c r="B2" s="8" t="inlineStr">
        <is>
          <t>product</t>
        </is>
      </c>
      <c r="C2" s="8" t="inlineStr">
        <is>
          <t>Dauer BRICK.COLOR 250 цветная кладочная смесь армированная</t>
        </is>
      </c>
      <c r="D2" s="8" t="inlineStr">
        <is>
          <t>Dauer BRICK.COLOR 250</t>
        </is>
      </c>
      <c r="E2" s="8" t="inlineStr"/>
      <c r="F2" s="8" t="inlineStr">
        <is>
          <t>masonry_colored</t>
        </is>
      </c>
      <c r="G2" s="8" t="inlineStr">
        <is>
          <t>yes</t>
        </is>
      </c>
      <c r="H2" s="8" t="inlineStr">
        <is>
          <t>Для монтажа и одновременной отделки швов кладочных элементов с водопоглощением от 6 до 12%</t>
        </is>
      </c>
      <c r="I2" s="8" t="inlineStr">
        <is>
          <t>3,5 – 4,5 литра воды на мешок 25 кг или 7 – 9 литров на мешок 50 кг</t>
        </is>
      </c>
      <c r="J2" s="8" t="inlineStr"/>
      <c r="K2" s="8" t="inlineStr">
        <is>
          <t>Новинка</t>
        </is>
      </c>
      <c r="L2" s="8" t="inlineStr">
        <is>
          <t>https://dauer.ru/catalog/montazhnye-i-kladochnye/dauer-brick-color-250/</t>
        </is>
      </c>
    </row>
    <row r="3">
      <c r="A3" s="8" t="inlineStr">
        <is>
          <t>Dauer</t>
        </is>
      </c>
      <c r="B3" s="8" t="inlineStr">
        <is>
          <t>product</t>
        </is>
      </c>
      <c r="C3" s="8" t="inlineStr">
        <is>
          <t>Dauer BRICK.COLOR 251 цветная кладочная смесь армированная</t>
        </is>
      </c>
      <c r="D3" s="8" t="inlineStr">
        <is>
          <t>Dauer BRICK.COLOR 251</t>
        </is>
      </c>
      <c r="E3" s="8" t="inlineStr"/>
      <c r="F3" s="8" t="inlineStr">
        <is>
          <t>masonry_colored</t>
        </is>
      </c>
      <c r="G3" s="8" t="inlineStr">
        <is>
          <t>yes</t>
        </is>
      </c>
      <c r="H3" s="8" t="inlineStr">
        <is>
          <t>Для монтажа и одновременной отделки швов кладочных элементов с водопоглощением от 5 до 18% (полнотелый и пустотелый облицовочный керамический кирпич, кирпич ручной формовки, рядовой керамический и плотный силикатный кирпич, кирпичи или блоки из бетона и натурального камня).</t>
        </is>
      </c>
      <c r="I3" s="8" t="inlineStr">
        <is>
          <t>3,5 – 4,5 литра воды на мешок 25 кг или 7 – 9 литров на мешок 50 кг</t>
        </is>
      </c>
      <c r="J3" s="8" t="inlineStr"/>
      <c r="K3" s="8" t="inlineStr">
        <is>
          <t>Новинка</t>
        </is>
      </c>
      <c r="L3" s="8" t="inlineStr">
        <is>
          <t>https://dauer.ru/catalog/montazhnye-i-kladochnye/dauer-brick-color-251/</t>
        </is>
      </c>
    </row>
    <row r="4">
      <c r="A4" s="8" t="inlineStr">
        <is>
          <t>Dauer</t>
        </is>
      </c>
      <c r="B4" s="8" t="inlineStr">
        <is>
          <t>product</t>
        </is>
      </c>
      <c r="C4" s="8" t="inlineStr">
        <is>
          <t>Dauer BRICK.COLOR 252 цветная кладочная смесь армированная</t>
        </is>
      </c>
      <c r="D4" s="8" t="inlineStr">
        <is>
          <t>Dauer BRICK.COLOR 252</t>
        </is>
      </c>
      <c r="E4" s="8" t="inlineStr"/>
      <c r="F4" s="8" t="inlineStr">
        <is>
          <t>masonry_colored</t>
        </is>
      </c>
      <c r="G4" s="8" t="inlineStr">
        <is>
          <t>yes</t>
        </is>
      </c>
      <c r="H4" s="8" t="inlineStr">
        <is>
          <t>Для монтажа и одновременной отделки швов кладочных элементов с водопоглощением от 1 до 5% (полнотелый и пустотелый облицовочный клинкерный кирпич, блоки из бетона и натурального камня).</t>
        </is>
      </c>
      <c r="I4" s="8" t="inlineStr">
        <is>
          <t>Смесь поставляется в бумажных мешках.</t>
        </is>
      </c>
      <c r="J4" s="8" t="inlineStr"/>
      <c r="K4" s="8" t="inlineStr">
        <is>
          <t>Новинка</t>
        </is>
      </c>
      <c r="L4" s="8" t="inlineStr">
        <is>
          <t>https://dauer.ru/catalog/montazhnye-i-kladochnye/dauer-brick-color-252/</t>
        </is>
      </c>
    </row>
    <row r="5">
      <c r="A5" s="8" t="inlineStr">
        <is>
          <t>Dauer</t>
        </is>
      </c>
      <c r="B5" s="8" t="inlineStr">
        <is>
          <t>product</t>
        </is>
      </c>
      <c r="C5" s="8" t="inlineStr">
        <is>
          <t>Dauer BRICK.COLOR 253 кладочная смесь для рядового кирпича</t>
        </is>
      </c>
      <c r="D5" s="8" t="inlineStr">
        <is>
          <t>Dauer BRICK.COLOR 253</t>
        </is>
      </c>
      <c r="E5" s="8" t="inlineStr"/>
      <c r="F5" s="8" t="inlineStr">
        <is>
          <t>masonry_ordinary</t>
        </is>
      </c>
      <c r="G5" s="8" t="inlineStr">
        <is>
          <t>yes</t>
        </is>
      </c>
      <c r="H5" s="8" t="inlineStr">
        <is>
          <t>Предназначена для монтажа забутовочных кладочных элементов (полнотелый и пустотелый керамический кирпич, натуральный камень, рядовой керамический и плотный силикатный кирпич, кирпичи из бетона).</t>
        </is>
      </c>
      <c r="I5" s="8" t="inlineStr">
        <is>
          <t>3,25 – 3,75 литра воды на мешок 25 кг или 6,5 – 7,5 литров на мешок 50 кг</t>
        </is>
      </c>
      <c r="J5" s="8" t="inlineStr"/>
      <c r="K5" s="8" t="inlineStr">
        <is>
          <t>Новинка</t>
        </is>
      </c>
      <c r="L5" s="8" t="inlineStr">
        <is>
          <t>https://dauer.ru/catalog/montazhnye-i-kladochnye/dauer-brick-color-253/</t>
        </is>
      </c>
    </row>
    <row r="6">
      <c r="A6" s="8" t="inlineStr">
        <is>
          <t>Dauer</t>
        </is>
      </c>
      <c r="B6" s="8" t="inlineStr">
        <is>
          <t>product</t>
        </is>
      </c>
      <c r="C6" s="8" t="inlineStr">
        <is>
          <t>Dauer CONECTOR® 02 Клей Оптимум C0 Т</t>
        </is>
      </c>
      <c r="D6" s="8" t="inlineStr">
        <is>
          <t>Dauer CONECTOR 02</t>
        </is>
      </c>
      <c r="E6" s="8" t="inlineStr"/>
      <c r="F6" s="8" t="inlineStr">
        <is>
          <t>tile_adhesive</t>
        </is>
      </c>
      <c r="G6" s="8" t="inlineStr">
        <is>
          <t>yes</t>
        </is>
      </c>
      <c r="H6" s="8" t="inlineStr">
        <is>
          <t>Для укладки на пол и стены керамической плитки по ГОСТ 13996 (со средним и высоким водопоглощением) и других облицовочных материалов с водопоглощением не менее 5%. Применяется внутри помещений с любым уровнем влажности.</t>
        </is>
      </c>
      <c r="I6" s="8" t="inlineStr">
        <is>
          <t>25 кг.</t>
        </is>
      </c>
      <c r="J6" s="8" t="inlineStr">
        <is>
          <t>1,3 – 1,4 кг/м²</t>
        </is>
      </c>
      <c r="K6" s="8" t="inlineStr"/>
      <c r="L6" s="8" t="inlineStr">
        <is>
          <t>https://dauer.ru/catalog/plitochnye-klei/conector-02/</t>
        </is>
      </c>
    </row>
    <row r="7">
      <c r="A7" s="8" t="inlineStr">
        <is>
          <t>Dauer</t>
        </is>
      </c>
      <c r="B7" s="8" t="inlineStr">
        <is>
          <t>product</t>
        </is>
      </c>
      <c r="C7" s="8" t="inlineStr">
        <is>
          <t>Dauer CONECTOR® 14 Клей Армированный С1 TЕ</t>
        </is>
      </c>
      <c r="D7" s="8" t="inlineStr">
        <is>
          <t>Dauer CONECTOR 14</t>
        </is>
      </c>
      <c r="E7" s="8" t="inlineStr"/>
      <c r="F7" s="8" t="inlineStr">
        <is>
          <t>tile_adhesive</t>
        </is>
      </c>
      <c r="G7" s="8" t="inlineStr">
        <is>
          <t>yes</t>
        </is>
      </c>
      <c r="H7" s="8" t="inlineStr">
        <is>
          <t>Для выполнения работ по облицовке фасадов выше цокольной части и помещений с любым уровнем влажности. Применяется для укладки керамической плитки, керамогранита и натурального камня весом до 150 кг/м2.</t>
        </is>
      </c>
      <c r="I7" s="8" t="inlineStr">
        <is>
          <t>25 кг.</t>
        </is>
      </c>
      <c r="J7" s="8" t="inlineStr">
        <is>
          <t>1,3 – 1,4 кг/м²</t>
        </is>
      </c>
      <c r="K7" s="8" t="inlineStr"/>
      <c r="L7" s="8" t="inlineStr">
        <is>
          <t>https://dauer.ru/catalog/plitochnye-klei/conector-14/</t>
        </is>
      </c>
    </row>
    <row r="8">
      <c r="A8" s="8" t="inlineStr">
        <is>
          <t>Dauer</t>
        </is>
      </c>
      <c r="B8" s="8" t="inlineStr">
        <is>
          <t>product</t>
        </is>
      </c>
      <c r="C8" s="8" t="inlineStr">
        <is>
          <t>Dauer CONECTOR® 22 Клей высокоэффективный С2 T</t>
        </is>
      </c>
      <c r="D8" s="8" t="inlineStr">
        <is>
          <t>Dauer CONECTOR 22</t>
        </is>
      </c>
      <c r="E8" s="8" t="inlineStr"/>
      <c r="F8" s="8" t="inlineStr">
        <is>
          <t>tile_adhesive</t>
        </is>
      </c>
      <c r="G8" s="8" t="inlineStr">
        <is>
          <t>yes</t>
        </is>
      </c>
      <c r="H8" s="8" t="inlineStr">
        <is>
          <t>Для наружных и внутренних облицовочных работ фасадов зданий и сооружений (включая цокольную часть) крупноформатными облицовочными материалами (керамическая и клинкерная плитка, натуральный камень и керамогранит).</t>
        </is>
      </c>
      <c r="I8" s="8" t="inlineStr">
        <is>
          <t>25 кг.</t>
        </is>
      </c>
      <c r="J8" s="8" t="inlineStr">
        <is>
          <t>1,3 – 1,4 кг/м²</t>
        </is>
      </c>
      <c r="K8" s="8" t="inlineStr"/>
      <c r="L8" s="8" t="inlineStr">
        <is>
          <t>https://dauer.ru/catalog/plitochnye-klei/conector-force-22-kley-vysokoeffektivnyy-s2-t-gost-r-56387/</t>
        </is>
      </c>
    </row>
    <row r="9">
      <c r="A9" s="8" t="inlineStr">
        <is>
          <t>Dauer</t>
        </is>
      </c>
      <c r="B9" s="8" t="inlineStr">
        <is>
          <t>product</t>
        </is>
      </c>
      <c r="C9" s="8" t="inlineStr">
        <is>
          <t>Dauer CONECTOR® 22 Макс Клей Армированный С2 TЕ</t>
        </is>
      </c>
      <c r="D9" s="8" t="inlineStr">
        <is>
          <t>Dauer CONECTOR 22 Макс</t>
        </is>
      </c>
      <c r="E9" s="8" t="inlineStr"/>
      <c r="F9" s="8" t="inlineStr">
        <is>
          <t>tile_adhesive</t>
        </is>
      </c>
      <c r="G9" s="8" t="inlineStr">
        <is>
          <t>yes</t>
        </is>
      </c>
      <c r="H9" s="8" t="inlineStr">
        <is>
          <t>Для наружных и внутренних облицовочных работ фасадов зданий и сооружений (включая цокольную часть) крупноформатными облицовочными материалами (керамическая и клинкерная плитка, натуральный камень и керамогранит).</t>
        </is>
      </c>
      <c r="I9" s="8" t="inlineStr">
        <is>
          <t>25 кг.</t>
        </is>
      </c>
      <c r="J9" s="8" t="inlineStr">
        <is>
          <t>1,3 – 1,4 кг/м²</t>
        </is>
      </c>
      <c r="K9" s="8" t="inlineStr"/>
      <c r="L9" s="8" t="inlineStr">
        <is>
          <t>https://dauer.ru/catalog/plitochnye-klei/conector-22-max/</t>
        </is>
      </c>
    </row>
    <row r="10">
      <c r="A10" s="8" t="inlineStr">
        <is>
          <t>Dauer</t>
        </is>
      </c>
      <c r="B10" s="8" t="inlineStr">
        <is>
          <t>product</t>
        </is>
      </c>
      <c r="C10" s="8" t="inlineStr">
        <is>
          <t>Dauer CONECTOR® Плюс Клей Универсальный C1 T</t>
        </is>
      </c>
      <c r="D10" s="8" t="inlineStr">
        <is>
          <t>Dauer CONECTOR Плюс</t>
        </is>
      </c>
      <c r="E10" s="8" t="inlineStr"/>
      <c r="F10" s="8" t="inlineStr">
        <is>
          <t>tile_adhesive</t>
        </is>
      </c>
      <c r="G10" s="8" t="inlineStr">
        <is>
          <t>yes</t>
        </is>
      </c>
      <c r="H10" s="8" t="inlineStr">
        <is>
          <t>Для укладки на пол и стены керамической и клинкерной плитки, керамогранита и натурального камня (кроме мрамора, базальта, габбро) весом до 80 кг/м².</t>
        </is>
      </c>
      <c r="I10" s="8" t="inlineStr">
        <is>
          <t>25/40 кг.</t>
        </is>
      </c>
      <c r="J10" s="8" t="inlineStr">
        <is>
          <t>1,3 – 1,4 кг/м²</t>
        </is>
      </c>
      <c r="K10" s="8" t="inlineStr">
        <is>
          <t>Хит</t>
        </is>
      </c>
      <c r="L10" s="8" t="inlineStr">
        <is>
          <t>https://dauer.ru/catalog/plitochnye-klei/conector-home-plus-kley-universalnyy-c1-gost-r-56387-2018/</t>
        </is>
      </c>
    </row>
    <row r="11">
      <c r="A11" s="8" t="inlineStr">
        <is>
          <t>Dauer</t>
        </is>
      </c>
      <c r="B11" s="8" t="inlineStr">
        <is>
          <t>product</t>
        </is>
      </c>
      <c r="C11" s="8" t="inlineStr">
        <is>
          <t>Dauer FINNER® 40W Шпатлевка цементная армированная базовая белая</t>
        </is>
      </c>
      <c r="D11" s="8" t="inlineStr">
        <is>
          <t>Dauer FINNER 40</t>
        </is>
      </c>
      <c r="E11" s="8" t="inlineStr">
        <is>
          <t>белая (W)</t>
        </is>
      </c>
      <c r="F11" s="8" t="inlineStr">
        <is>
          <t>putty_cement</t>
        </is>
      </c>
      <c r="G11" s="8" t="inlineStr">
        <is>
          <t>yes</t>
        </is>
      </c>
      <c r="H11" s="8" t="inlineStr">
        <is>
          <t>Для толстослойного и финишного выравнивания (слой от 1 до 15 мм) поверхности фасадов, стен и потолков внутри всех видов жилых и нежилых помещений, в т.ч. влажных и неотапливаемых: подвалы, балконы и лоджии, паркинги, лестничные пролеты, марши, склады, душевые и ванные комнаты.</t>
        </is>
      </c>
      <c r="I11" s="8" t="inlineStr">
        <is>
          <t>25 кг.</t>
        </is>
      </c>
      <c r="J11" s="8" t="inlineStr">
        <is>
          <t>0,9 кг/м2</t>
        </is>
      </c>
      <c r="K11" s="8" t="inlineStr"/>
      <c r="L11" s="8" t="inlineStr">
        <is>
          <t>https://dauer.ru/catalog/shpatlevki/finner-exter-40w-shpatlevka-tsementnaya-armirovannaya-bazovaya-belaya/</t>
        </is>
      </c>
    </row>
    <row r="12">
      <c r="A12" s="8" t="inlineStr">
        <is>
          <t>Dauer</t>
        </is>
      </c>
      <c r="B12" s="8" t="inlineStr">
        <is>
          <t>product</t>
        </is>
      </c>
      <c r="C12" s="8" t="inlineStr">
        <is>
          <t>Dauer FINNER® 40G Шпатлевка цементная армированная базовая серая</t>
        </is>
      </c>
      <c r="D12" s="8" t="inlineStr">
        <is>
          <t>Dauer FINNER 40</t>
        </is>
      </c>
      <c r="E12" s="8" t="inlineStr">
        <is>
          <t>серая (G)</t>
        </is>
      </c>
      <c r="F12" s="8" t="inlineStr">
        <is>
          <t>putty_cement</t>
        </is>
      </c>
      <c r="G12" s="8" t="inlineStr">
        <is>
          <t>yes</t>
        </is>
      </c>
      <c r="H12" s="8" t="inlineStr">
        <is>
          <t>Для толстослойного и финишного выравнивания (слой от 1 до 15 мм) поверхности фасадов, стен и потолков внутри всех видов помещений, в т.ч. влажных и неотапливаемых.</t>
        </is>
      </c>
      <c r="I12" s="8" t="inlineStr">
        <is>
          <t>25 кг.</t>
        </is>
      </c>
      <c r="J12" s="8" t="inlineStr">
        <is>
          <t>0,9 кг/м2</t>
        </is>
      </c>
      <c r="K12" s="8" t="inlineStr"/>
      <c r="L12" s="8" t="inlineStr">
        <is>
          <t>https://dauer.ru/catalog/shpatlevki/finner-40g/</t>
        </is>
      </c>
    </row>
    <row r="13">
      <c r="A13" s="8" t="inlineStr">
        <is>
          <t>Dauer</t>
        </is>
      </c>
      <c r="B13" s="8" t="inlineStr">
        <is>
          <t>product</t>
        </is>
      </c>
      <c r="C13" s="8" t="inlineStr">
        <is>
          <t>Dauer FINNER® 41W Шпатлевка цементная финишная белая 180/6,5/F50 ГОСТ 33699</t>
        </is>
      </c>
      <c r="D13" s="8" t="inlineStr">
        <is>
          <t>Dauer FINNER 41</t>
        </is>
      </c>
      <c r="E13" s="8" t="inlineStr">
        <is>
          <t>белая (W)</t>
        </is>
      </c>
      <c r="F13" s="8" t="inlineStr">
        <is>
          <t>putty_cement</t>
        </is>
      </c>
      <c r="G13" s="8" t="inlineStr">
        <is>
          <t>yes</t>
        </is>
      </c>
      <c r="H13" s="8" t="inlineStr">
        <is>
          <t>Для финишного выравнивания (слой от 0,2 до 5 мм) поверхности фасадов, стен и потолков, внутри всех видов помещений, в т.ч. влажных и неотапливаемых: подвалы, лоджии, балконы, паркинги, лестничные пролеты, марши, склады, душевые и ванные комнаты.</t>
        </is>
      </c>
      <c r="I13" s="8" t="inlineStr">
        <is>
          <t>20 кг.</t>
        </is>
      </c>
      <c r="J13" s="8" t="inlineStr">
        <is>
          <t>1 кг/м2</t>
        </is>
      </c>
      <c r="K13" s="8" t="inlineStr"/>
      <c r="L13" s="8" t="inlineStr">
        <is>
          <t>https://dauer.ru/catalog/shpatlevki/finner-exter-41w-shpatlevka-tsementnaya-finishnaya-belaya/</t>
        </is>
      </c>
    </row>
    <row r="14">
      <c r="A14" s="8" t="inlineStr">
        <is>
          <t>Dauer</t>
        </is>
      </c>
      <c r="B14" s="8" t="inlineStr">
        <is>
          <t>product</t>
        </is>
      </c>
      <c r="C14" s="8" t="inlineStr">
        <is>
          <t>Dauer FINNER® 41G Шпатлевка цементная финишная серая</t>
        </is>
      </c>
      <c r="D14" s="8" t="inlineStr">
        <is>
          <t>Dauer FINNER 41</t>
        </is>
      </c>
      <c r="E14" s="8" t="inlineStr">
        <is>
          <t>серая (G)</t>
        </is>
      </c>
      <c r="F14" s="8" t="inlineStr">
        <is>
          <t>putty_cement</t>
        </is>
      </c>
      <c r="G14" s="8" t="inlineStr">
        <is>
          <t>yes</t>
        </is>
      </c>
      <c r="H14" s="8" t="inlineStr">
        <is>
          <t>Для финишного выравнивания (слой от 0,2 до 5 мм) поверхности фасадов, стен и потолков, внутри всех видов помещений, в т.ч. влажных и неотапливаемых: подвалы, лоджии, балконы, паркинги, лестничные пролеты, марши, склады, душевые и ванные комнаты. Используется для выравнивания поверхности под нанесение финишных декоративных покрытий и многослойное окрашивание ЛКМ.</t>
        </is>
      </c>
      <c r="I14" s="8" t="inlineStr">
        <is>
          <t>20 кг.</t>
        </is>
      </c>
      <c r="J14" s="8" t="inlineStr">
        <is>
          <t>0,9 кг/м2</t>
        </is>
      </c>
      <c r="K14" s="8" t="inlineStr"/>
      <c r="L14" s="8" t="inlineStr">
        <is>
          <t>https://dauer.ru/catalog/shpatlevki/finner-exter-41g-shpatlevka-tsementnaya-finishnaya-seraya/</t>
        </is>
      </c>
    </row>
    <row r="15">
      <c r="A15" s="8" t="inlineStr">
        <is>
          <t>Dauer</t>
        </is>
      </c>
      <c r="B15" s="8" t="inlineStr">
        <is>
          <t>product</t>
        </is>
      </c>
      <c r="C15" s="8" t="inlineStr">
        <is>
          <t>Dauer FINNER® 43W Шпатлевка гипсовая универсальная белая</t>
        </is>
      </c>
      <c r="D15" s="8" t="inlineStr">
        <is>
          <t>Dauer FINNER 43</t>
        </is>
      </c>
      <c r="E15" s="8" t="inlineStr">
        <is>
          <t>белая (W)</t>
        </is>
      </c>
      <c r="F15" s="8" t="inlineStr">
        <is>
          <t>putty_gypsum</t>
        </is>
      </c>
      <c r="G15" s="8" t="inlineStr">
        <is>
          <t>yes</t>
        </is>
      </c>
      <c r="H15" s="8" t="inlineStr">
        <is>
          <t>Внутри сухих отапливаемых помещений для толстослойного и финишного выравнивания (слой от 1 до 20 мм) поверхности стен и потолков под дальнейшую отделку обоями и нанесения финишных декоративных покрытий; для заделки трещин, выбоин, раковин слоем до 20 мм, для заполнения швов ГВЛ, ГКЛ с обязательным применением армирующей ленты.</t>
        </is>
      </c>
      <c r="I15" s="8" t="inlineStr">
        <is>
          <t>20 кг.</t>
        </is>
      </c>
      <c r="J15" s="8" t="inlineStr">
        <is>
          <t>0,9 кг/м²</t>
        </is>
      </c>
      <c r="K15" s="8" t="inlineStr"/>
      <c r="L15" s="8" t="inlineStr">
        <is>
          <t>https://dauer.ru/catalog/shpatlevki/finner-43/</t>
        </is>
      </c>
    </row>
    <row r="16">
      <c r="A16" s="8" t="inlineStr">
        <is>
          <t>Dauer</t>
        </is>
      </c>
      <c r="B16" s="8" t="inlineStr">
        <is>
          <t>product</t>
        </is>
      </c>
      <c r="C16" s="8" t="inlineStr">
        <is>
          <t>Dauer IMMER® 60 Грунт глубокого проникновения</t>
        </is>
      </c>
      <c r="D16" s="8" t="inlineStr">
        <is>
          <t>Dauer IMMER 60</t>
        </is>
      </c>
      <c r="E16" s="8" t="inlineStr"/>
      <c r="F16" s="8" t="inlineStr">
        <is>
          <t>primer</t>
        </is>
      </c>
      <c r="G16" s="8" t="inlineStr">
        <is>
          <t>no</t>
        </is>
      </c>
      <c r="H16" s="8" t="inlineStr">
        <is>
          <t>Для обработки и обеспыливания минеральных оснований, под последующее нанесение отделочных материалов: цементных и гипсовых штукатурок, цементных, гипсовых и полимерных шпаклёвок, плиточных и монтажных клеёв, лакокрасочных материалов, обоев и других финишных декоративных покрытий.</t>
        </is>
      </c>
      <c r="I16" s="8" t="inlineStr">
        <is>
          <t>e 10 л / НЕТТО 10 кг</t>
        </is>
      </c>
      <c r="J16" s="8" t="inlineStr">
        <is>
          <t>100-120 мл/м²</t>
        </is>
      </c>
      <c r="K16" s="8" t="inlineStr">
        <is>
          <t>Новинка, Новая, улучшенная рецептура</t>
        </is>
      </c>
      <c r="L16" s="8" t="inlineStr">
        <is>
          <t>https://dauer.ru/catalog/grunty/immer-made-60-grunt-bazovyy-ukreplyayushchiy-na-akrilovoy-osnove/</t>
        </is>
      </c>
    </row>
    <row r="17">
      <c r="A17" s="8" t="inlineStr">
        <is>
          <t>Dauer</t>
        </is>
      </c>
      <c r="B17" s="8" t="inlineStr">
        <is>
          <t>product</t>
        </is>
      </c>
      <c r="C17" s="8" t="inlineStr">
        <is>
          <t>Dauer IMMER® 65 Про Грунт глубокого проникновения</t>
        </is>
      </c>
      <c r="D17" s="8" t="inlineStr">
        <is>
          <t>Dauer IMMER 65</t>
        </is>
      </c>
      <c r="E17" s="8" t="inlineStr"/>
      <c r="F17" s="8" t="inlineStr">
        <is>
          <t>primer</t>
        </is>
      </c>
      <c r="G17" s="8" t="inlineStr">
        <is>
          <t>no</t>
        </is>
      </c>
      <c r="H17" s="8" t="inlineStr">
        <is>
          <t>Для предварительной обработки и обеспыливания минеральных оснований. Рекомендуется для упрочнения старых, рыхлых, непрочных и сильновпитывающих оснований.</t>
        </is>
      </c>
      <c r="I17" s="8" t="inlineStr">
        <is>
          <t>5 л./10 л.</t>
        </is>
      </c>
      <c r="J17" s="8" t="inlineStr">
        <is>
          <t>100-120 мл/м²</t>
        </is>
      </c>
      <c r="K17" s="8" t="inlineStr">
        <is>
          <t>Новинка, Новая, улучшенная рецептура</t>
        </is>
      </c>
      <c r="L17" s="8" t="inlineStr">
        <is>
          <t>https://dauer.ru/catalog/grunty/immer-made-65-grunt-glubokogo-proniknoveniya/</t>
        </is>
      </c>
    </row>
    <row r="18">
      <c r="A18" s="8" t="inlineStr">
        <is>
          <t>Dauer</t>
        </is>
      </c>
      <c r="B18" s="8" t="inlineStr">
        <is>
          <t>product</t>
        </is>
      </c>
      <c r="C18" s="8" t="inlineStr">
        <is>
          <t>Dauer PLATTER® 50 Стяжка высокопрочная армированная</t>
        </is>
      </c>
      <c r="D18" s="8" t="inlineStr">
        <is>
          <t>Dauer PLATTER 50</t>
        </is>
      </c>
      <c r="E18" s="8" t="inlineStr"/>
      <c r="F18" s="8" t="inlineStr">
        <is>
          <t>floor_screed</t>
        </is>
      </c>
      <c r="G18" s="8" t="inlineStr">
        <is>
          <t>yes</t>
        </is>
      </c>
      <c r="H18" s="8" t="inlineStr">
        <is>
          <t>Применяется для базового толстослойного выравнивания полов, для устройства контактных стяжек и стяжек на разделительном слое, в том числе "плавающих".</t>
        </is>
      </c>
      <c r="I18" s="8" t="inlineStr">
        <is>
          <t>25 кг.</t>
        </is>
      </c>
      <c r="J18" s="8" t="inlineStr">
        <is>
          <t>18 кг/м²</t>
        </is>
      </c>
      <c r="K18" s="8" t="inlineStr">
        <is>
          <t>Новинка</t>
        </is>
      </c>
      <c r="L18" s="8" t="inlineStr">
        <is>
          <t>https://dauer.ru/catalog/materialy-dlya-ustroystva-polov/dauer-platter-50/</t>
        </is>
      </c>
    </row>
    <row r="19">
      <c r="A19" s="8" t="inlineStr">
        <is>
          <t>Dauer</t>
        </is>
      </c>
      <c r="B19" s="8" t="inlineStr">
        <is>
          <t>product</t>
        </is>
      </c>
      <c r="C19" s="8" t="inlineStr">
        <is>
          <t>Dauer PLATTER® 55 Наливной пол универсальный быстротвердеющий</t>
        </is>
      </c>
      <c r="D19" s="8" t="inlineStr">
        <is>
          <t>Dauer PLATTER 55</t>
        </is>
      </c>
      <c r="E19" s="8" t="inlineStr"/>
      <c r="F19" s="8" t="inlineStr">
        <is>
          <t>floor_self_leveling</t>
        </is>
      </c>
      <c r="G19" s="8" t="inlineStr">
        <is>
          <t>yes</t>
        </is>
      </c>
      <c r="H19" s="8" t="inlineStr">
        <is>
          <t>Для ручного и механизированного выравнивания оснований (от 2 до 100 мм) под последующую укладку напольных покрытий: ламинат, линолеум и ковролин, керамическая и керамогранитная плитка, другие выстилающие покрытия.</t>
        </is>
      </c>
      <c r="I19" s="8" t="inlineStr">
        <is>
          <t>20 кг.</t>
        </is>
      </c>
      <c r="J19" s="8" t="inlineStr">
        <is>
          <t>1,4-1,6 кг/м²</t>
        </is>
      </c>
      <c r="K19" s="8" t="inlineStr"/>
      <c r="L19" s="8" t="inlineStr">
        <is>
          <t>https://dauer.ru/catalog/materialy-dlya-ustroystva-polov/platter-self-55-eco-nalivnoy-pol-universalnyy-bystrotverdeyushchiy-rk5-vtb4-v12-5-gost-31358-2019/</t>
        </is>
      </c>
    </row>
    <row r="20">
      <c r="A20" s="8" t="inlineStr">
        <is>
          <t>Dauer</t>
        </is>
      </c>
      <c r="B20" s="8" t="inlineStr">
        <is>
          <t>product</t>
        </is>
      </c>
      <c r="C20" s="8" t="inlineStr">
        <is>
          <t>Dauer PLATTER® 57 Наливной пол армированный быстротвердеющий</t>
        </is>
      </c>
      <c r="D20" s="8" t="inlineStr">
        <is>
          <t>Dauer PLATTER 57</t>
        </is>
      </c>
      <c r="E20" s="8" t="inlineStr"/>
      <c r="F20" s="8" t="inlineStr">
        <is>
          <t>floor_self_leveling</t>
        </is>
      </c>
      <c r="G20" s="8" t="inlineStr">
        <is>
          <t>yes</t>
        </is>
      </c>
      <c r="H20" s="8" t="inlineStr">
        <is>
          <t>Для ручного и механизированного выравнивания оснований (от 1 до 15 мм) под последующую укладку напольных покрытий.</t>
        </is>
      </c>
      <c r="I20" s="8" t="inlineStr">
        <is>
          <t>20 кг.</t>
        </is>
      </c>
      <c r="J20" s="8" t="inlineStr">
        <is>
          <t>1,5-1,6 кг/м²</t>
        </is>
      </c>
      <c r="K20" s="8" t="inlineStr"/>
      <c r="L20" s="8" t="inlineStr">
        <is>
          <t>https://dauer.ru/catalog/materialy-dlya-ustroystva-polov/platter-self-57-nalivnoy-pol-tonkosloynyy-bystrotverdeyushchiy-klass-v15-gost-31358/</t>
        </is>
      </c>
    </row>
    <row r="21">
      <c r="A21" s="8" t="inlineStr">
        <is>
          <t>Dauer</t>
        </is>
      </c>
      <c r="B21" s="8" t="inlineStr">
        <is>
          <t>product</t>
        </is>
      </c>
      <c r="C21" s="8" t="inlineStr">
        <is>
          <t>Dauer PLATTER® 59 Наливной пол армированный высокопрочный</t>
        </is>
      </c>
      <c r="D21" s="8" t="inlineStr">
        <is>
          <t>Dauer PLATTER 59</t>
        </is>
      </c>
      <c r="E21" s="8" t="inlineStr"/>
      <c r="F21" s="8" t="inlineStr">
        <is>
          <t>floor_self_leveling</t>
        </is>
      </c>
      <c r="G21" s="8" t="inlineStr">
        <is>
          <t>yes</t>
        </is>
      </c>
      <c r="H21" s="8" t="inlineStr">
        <is>
          <t>Для ручного и механизированного выравнивания оснований от 2 до 30 мм, с возможностью локального выравнивания до 50 мм, эксплуатируемых в жилых, офисных, торговых или иных общественных помещениях с умеренной и повышенной влажностью, в условиях умеренных и значительных нагрузок, под последующую укладку напольных покрытий, а также под проведение облицовочных работ плитами из керамогранита или натурального камня.</t>
        </is>
      </c>
      <c r="I21" s="8" t="inlineStr">
        <is>
          <t>25 кг.</t>
        </is>
      </c>
      <c r="J21" s="8" t="inlineStr">
        <is>
          <t>1,7 кг/м2</t>
        </is>
      </c>
      <c r="K21" s="8" t="inlineStr"/>
      <c r="L21" s="8" t="inlineStr">
        <is>
          <t>https://dauer.ru/catalog/materialy-dlya-ustroystva-polov/platter-self-59-nalivnoy-pol-vysokoprochnyy-rk6-vtb4-v20-f50-gost-31358/</t>
        </is>
      </c>
    </row>
    <row r="22">
      <c r="A22" s="8" t="inlineStr">
        <is>
          <t>Dauer</t>
        </is>
      </c>
      <c r="B22" s="8" t="inlineStr">
        <is>
          <t>product</t>
        </is>
      </c>
      <c r="C22" s="8" t="inlineStr">
        <is>
          <t>Dauer QUADER D600 клей для блоков усиленный</t>
        </is>
      </c>
      <c r="D22" s="8" t="inlineStr">
        <is>
          <t>Dauer QUADER D600</t>
        </is>
      </c>
      <c r="E22" s="8" t="inlineStr"/>
      <c r="F22" s="8" t="inlineStr">
        <is>
          <t>block_adhesive</t>
        </is>
      </c>
      <c r="G22" s="8" t="inlineStr">
        <is>
          <t>yes</t>
        </is>
      </c>
      <c r="H22" s="8" t="inlineStr">
        <is>
          <t>Для возведения стен и перегородок из блоков на основе газо- и пенобетона, силикатного пенобетона, полистиролбетона и других ячеистых блоков.</t>
        </is>
      </c>
      <c r="I22" s="8" t="inlineStr">
        <is>
          <t>25 кг, 40 кг</t>
        </is>
      </c>
      <c r="J22" s="8" t="inlineStr">
        <is>
          <t>Расход раствора при слое шва 2 мм</t>
        </is>
      </c>
      <c r="K22" s="8" t="inlineStr">
        <is>
          <t>Хит</t>
        </is>
      </c>
      <c r="L22" s="8" t="inlineStr">
        <is>
          <t>https://dauer.ru/catalog/montazhnye-i-kladochnye/block-d600-kley-montazhnyy/</t>
        </is>
      </c>
    </row>
    <row r="23">
      <c r="A23" s="8" t="inlineStr">
        <is>
          <t>Dauer</t>
        </is>
      </c>
      <c r="B23" s="8" t="inlineStr">
        <is>
          <t>product</t>
        </is>
      </c>
      <c r="C23" s="8" t="inlineStr">
        <is>
          <t>Dauer SAVER 707 Гидроизоляция готовая полимерная</t>
        </is>
      </c>
      <c r="D23" s="8" t="inlineStr">
        <is>
          <t>Dauer SAVER 707</t>
        </is>
      </c>
      <c r="E23" s="8" t="inlineStr"/>
      <c r="F23" s="8" t="inlineStr">
        <is>
          <t>waterproofing_liquid</t>
        </is>
      </c>
      <c r="G23" s="8" t="inlineStr">
        <is>
          <t>no</t>
        </is>
      </c>
      <c r="H23" s="8" t="inlineStr">
        <is>
          <t>Гидроизоляция готовая на полимерной основе, предназначена для создания эластичного гидроизоляционного покрытия на горизонтальных и вертикальных поверхностях в помещениях под последующую укладку керамической и клинкерной плитки, керамогранита, натурального и искусственного камня, подверженных периодическому увлажнению (ванных, душевых, туалетах, кухнях и т.д.).</t>
        </is>
      </c>
      <c r="I23" s="8" t="inlineStr">
        <is>
          <t>14 кг.</t>
        </is>
      </c>
      <c r="J23" s="8" t="inlineStr">
        <is>
          <t>1,4 кг/м2</t>
        </is>
      </c>
      <c r="K23" s="8" t="inlineStr"/>
      <c r="L23" s="8" t="inlineStr">
        <is>
          <t>https://dauer.ru/catalog/gidroizolyatsiya/dauer-saver-707/</t>
        </is>
      </c>
    </row>
    <row r="24">
      <c r="A24" s="8" t="inlineStr">
        <is>
          <t>Dauer</t>
        </is>
      </c>
      <c r="B24" s="8" t="inlineStr">
        <is>
          <t>product</t>
        </is>
      </c>
      <c r="C24" s="8" t="inlineStr">
        <is>
          <t>Dauer SLIDER® 301 Штукатурка цементно-известковая выравнивающая облегченная</t>
        </is>
      </c>
      <c r="D24" s="8" t="inlineStr">
        <is>
          <t>Dauer SLIDER 301</t>
        </is>
      </c>
      <c r="E24" s="8" t="inlineStr"/>
      <c r="F24" s="8" t="inlineStr">
        <is>
          <t>plaster_cement</t>
        </is>
      </c>
      <c r="G24" s="8" t="inlineStr">
        <is>
          <t>yes</t>
        </is>
      </c>
      <c r="H24" s="8" t="inlineStr">
        <is>
          <t>Штукатурка цементно-известковая выравнивающая облегченная SLIDER® 301 предназначена для ручного и механизированного высококачественного выравнивания (слой 5 – 40 мм) поверхности фасадов зданий и сооружений, стен внутри всех видов помещений в т.ч. влажных и неотапливаемых: подвалы, балконы и лоджии, паркинги, лестничные пролеты, марши, склады, другие помещения с переменной влажностью.</t>
        </is>
      </c>
      <c r="I24" s="8" t="inlineStr">
        <is>
          <t>40 кг.</t>
        </is>
      </c>
      <c r="J24" s="8" t="inlineStr">
        <is>
          <t>12,5 кг/м2</t>
        </is>
      </c>
      <c r="K24" s="8" t="inlineStr">
        <is>
          <t>Новинка</t>
        </is>
      </c>
      <c r="L24" s="8" t="inlineStr">
        <is>
          <t>https://dauer.ru/catalog/shtukaturki/slider-fasad-301/</t>
        </is>
      </c>
    </row>
    <row r="25">
      <c r="A25" s="8" t="inlineStr">
        <is>
          <t>Dauer</t>
        </is>
      </c>
      <c r="B25" s="8" t="inlineStr">
        <is>
          <t>product</t>
        </is>
      </c>
      <c r="C25" s="8" t="inlineStr">
        <is>
          <t>Dauer SLIDER® 302 Штукатурка цементно-известковая гладкая</t>
        </is>
      </c>
      <c r="D25" s="8" t="inlineStr">
        <is>
          <t>Dauer SLIDER 302</t>
        </is>
      </c>
      <c r="E25" s="8" t="inlineStr"/>
      <c r="F25" s="8" t="inlineStr">
        <is>
          <t>plaster_cement</t>
        </is>
      </c>
      <c r="G25" s="8" t="inlineStr">
        <is>
          <t>yes</t>
        </is>
      </c>
      <c r="H25" s="8" t="inlineStr">
        <is>
          <t>Штукатурка цементно-известковая гладкая Dauer SLIDER® 302 предназначена для ручного и механизированного высококачественного выравнивания (слой 5 – 40 мм) поверхности фасадов зданий и сооружений, стен внутри всех видов помещений в т.ч. влажных и неотапливаемых: подвалы, балконы и лоджии, паркинги, лестничные пролеты, марши, склады, другие помещения с переменной влажностью.</t>
        </is>
      </c>
      <c r="I25" s="8" t="inlineStr">
        <is>
          <t>25 кг.</t>
        </is>
      </c>
      <c r="J25" s="8" t="inlineStr">
        <is>
          <t>12,5 кг/м2</t>
        </is>
      </c>
      <c r="K25" s="8" t="inlineStr">
        <is>
          <t>Новинка</t>
        </is>
      </c>
      <c r="L25" s="8" t="inlineStr">
        <is>
          <t>https://dauer.ru/catalog/shtukaturki/slider-fasad-302/</t>
        </is>
      </c>
    </row>
    <row r="26">
      <c r="A26" s="8" t="inlineStr">
        <is>
          <t>Dauer</t>
        </is>
      </c>
      <c r="B26" s="8" t="inlineStr">
        <is>
          <t>product</t>
        </is>
      </c>
      <c r="C26" s="8" t="inlineStr">
        <is>
          <t>Dauer SLIDER® 31 Штукатурка цементная мелкофракционная гладкая</t>
        </is>
      </c>
      <c r="D26" s="8" t="inlineStr">
        <is>
          <t>Dauer SLIDER 31 Slim</t>
        </is>
      </c>
      <c r="E26" s="8" t="inlineStr"/>
      <c r="F26" s="8" t="inlineStr">
        <is>
          <t>plaster_cement</t>
        </is>
      </c>
      <c r="G26" s="8" t="inlineStr">
        <is>
          <t>yes</t>
        </is>
      </c>
      <c r="H26" s="8" t="inlineStr">
        <is>
          <t>Для ручного и механизированного выравнивания слоем от 3 мм. (локально) до 30 мм. поверхности фасадов, стен внутри всех видов помещений, в т.ч. влажных и неотапливаемых: подвалы, лоджии, паркинги, лестничные пролеты, марши, склады, душевые и ванные комнаты.</t>
        </is>
      </c>
      <c r="I26" s="8" t="inlineStr">
        <is>
          <t>25 кг, 40 кг</t>
        </is>
      </c>
      <c r="J26" s="8" t="inlineStr">
        <is>
          <t>12 - 13 кг/м²</t>
        </is>
      </c>
      <c r="K26" s="8" t="inlineStr">
        <is>
          <t>Хит</t>
        </is>
      </c>
      <c r="L26" s="8" t="inlineStr">
        <is>
          <t>https://dauer.ru/catalog/shtukaturki/slider-fasad-31-slim-shtukaturka-tsementnaya-melkofraktsionnaya-gladkaya-kp-iii-gost-33083-2014/</t>
        </is>
      </c>
    </row>
    <row r="27">
      <c r="A27" s="8" t="inlineStr">
        <is>
          <t>Dauer</t>
        </is>
      </c>
      <c r="B27" s="8" t="inlineStr">
        <is>
          <t>product</t>
        </is>
      </c>
      <c r="C27" s="8" t="inlineStr">
        <is>
          <t>Dauer SLIDER® 31 Фибра Штукатурка цементная выравнивающая армированная</t>
        </is>
      </c>
      <c r="D27" s="8" t="inlineStr">
        <is>
          <t>Dauer SLIDER 31 Фибра</t>
        </is>
      </c>
      <c r="E27" s="8" t="inlineStr"/>
      <c r="F27" s="8" t="inlineStr">
        <is>
          <t>plaster_cement</t>
        </is>
      </c>
      <c r="G27" s="8" t="inlineStr">
        <is>
          <t>yes</t>
        </is>
      </c>
      <c r="H27" s="8" t="inlineStr">
        <is>
          <t>Для ручного и механизированного выравнивания (слоем 5 - 40 мм) поверхности фасадов, стен внутри всех видов помещений, в т.ч. влажных и неотапливаемых: подвалы, балконы и лоджии, паркинги, лестничные пролеты, марши, склады, душевые и ванные комнаты. Для ремонта сколов, выбоин, раковин, трещин глубиной до 50 мм.</t>
        </is>
      </c>
      <c r="I27" s="8" t="inlineStr">
        <is>
          <t>25 кг, 40 кг</t>
        </is>
      </c>
      <c r="J27" s="8" t="inlineStr">
        <is>
          <t>14 - 15 кг/м²</t>
        </is>
      </c>
      <c r="K27" s="8" t="inlineStr">
        <is>
          <t>Хит</t>
        </is>
      </c>
      <c r="L27" s="8" t="inlineStr">
        <is>
          <t>https://dauer.ru/catalog/shtukaturki/slider-fasad-31-fibro-shtukaturka-tsementnaya-vyravnivayushchaya-armirovannaya-kp-iii-gost-33083-201/</t>
        </is>
      </c>
    </row>
    <row r="28">
      <c r="A28" s="8" t="inlineStr">
        <is>
          <t>Dauer</t>
        </is>
      </c>
      <c r="B28" s="8" t="inlineStr">
        <is>
          <t>product</t>
        </is>
      </c>
      <c r="C28" s="8" t="inlineStr">
        <is>
          <t>Dauer SLIDER® 312 Штукатурка цементная гладкая с перлитом</t>
        </is>
      </c>
      <c r="D28" s="8" t="inlineStr">
        <is>
          <t>Dauer SLIDER 312</t>
        </is>
      </c>
      <c r="E28" s="8" t="inlineStr"/>
      <c r="F28" s="8" t="inlineStr">
        <is>
          <t>plaster_cement</t>
        </is>
      </c>
      <c r="G28" s="8" t="inlineStr">
        <is>
          <t>yes</t>
        </is>
      </c>
      <c r="H28" s="8" t="inlineStr">
        <is>
          <t>Для высококачественного выравнивания (слой 3 – 40 мм) поверхности фасадов зданий и сооружений, стен внутри всех видов помещений в т.ч. влажных и неотапливаемых: подвалы, балконы и лоджии, паркинги, лестничные пролеты, марши, склады, душевые и ванные комнаты.</t>
        </is>
      </c>
      <c r="I28" s="8" t="inlineStr">
        <is>
          <t>30 кг.</t>
        </is>
      </c>
      <c r="J28" s="8" t="inlineStr">
        <is>
          <t>12 кг/м2</t>
        </is>
      </c>
      <c r="K28" s="8" t="inlineStr"/>
      <c r="L28" s="8" t="inlineStr">
        <is>
          <t>https://dauer.ru/catalog/shtukaturki/slider-312/</t>
        </is>
      </c>
    </row>
    <row r="29">
      <c r="A29" s="8" t="inlineStr">
        <is>
          <t>Dauer</t>
        </is>
      </c>
      <c r="B29" s="8" t="inlineStr">
        <is>
          <t>product</t>
        </is>
      </c>
      <c r="C29" s="8" t="inlineStr">
        <is>
          <t>Dauer SLIDER® 321 штукатурка цементная высокопрочная фасадная</t>
        </is>
      </c>
      <c r="D29" s="8" t="inlineStr">
        <is>
          <t>Dauer SLIDER 321</t>
        </is>
      </c>
      <c r="E29" s="8" t="inlineStr"/>
      <c r="F29" s="8" t="inlineStr">
        <is>
          <t>plaster_cement</t>
        </is>
      </c>
      <c r="G29" s="8" t="inlineStr">
        <is>
          <t>yes</t>
        </is>
      </c>
      <c r="H29" s="8" t="inlineStr">
        <is>
          <t>Штукатурка цементная высокопрочная фасадная SLIDER® 321 предназначена для ручного и механизированного высококачественного выравнивания (слой 10 – 40 мм, локально от 5 мм.) поверхности фасадов и цоколей зданий и сооружений, стен снаружи и внутри всех видов помещений в т.ч. влажных и неотапливаемых: подвалы, балконы и лоджии, паркинги, лестничные пролеты, марши, склады, другие помещения с переменной влажностью.</t>
        </is>
      </c>
      <c r="I29" s="8" t="inlineStr">
        <is>
          <t>40 кг.</t>
        </is>
      </c>
      <c r="J29" s="8" t="inlineStr">
        <is>
          <t>16 кг/м2</t>
        </is>
      </c>
      <c r="K29" s="8" t="inlineStr">
        <is>
          <t>Новинка</t>
        </is>
      </c>
      <c r="L29" s="8" t="inlineStr">
        <is>
          <t>https://dauer.ru/catalog/shtukaturki/dauer-slider-321/</t>
        </is>
      </c>
    </row>
    <row r="30">
      <c r="A30" s="8" t="inlineStr">
        <is>
          <t>Dauer</t>
        </is>
      </c>
      <c r="B30" s="8" t="inlineStr">
        <is>
          <t>product</t>
        </is>
      </c>
      <c r="C30" s="8" t="inlineStr">
        <is>
          <t>Dauer SLIDER® 36W Штукатурка гипсовая универсальная белая</t>
        </is>
      </c>
      <c r="D30" s="8" t="inlineStr">
        <is>
          <t>Dauer SLIDER 36</t>
        </is>
      </c>
      <c r="E30" s="8" t="inlineStr">
        <is>
          <t>белая (W)</t>
        </is>
      </c>
      <c r="F30" s="8" t="inlineStr">
        <is>
          <t>plaster_gypsum</t>
        </is>
      </c>
      <c r="G30" s="8" t="inlineStr">
        <is>
          <t>yes</t>
        </is>
      </c>
      <c r="H30" s="8" t="inlineStr">
        <is>
          <t>Для машинного и ручного выравнивания стен: сплошного (от 5 до 50 мм) и частичного при локальном выравнивании (до 60 мм), выравнивания потолков (до 10 мм) – внутри помещений с умеренной влажностью под последующую отделку (оклейку обоями, многослойное окрашивание, шпатлевание).</t>
        </is>
      </c>
      <c r="I30" s="8" t="inlineStr">
        <is>
          <t>30 кг.</t>
        </is>
      </c>
      <c r="J30" s="8" t="inlineStr">
        <is>
          <t>0,9 – 1,0 кг/м²</t>
        </is>
      </c>
      <c r="K30" s="8" t="inlineStr">
        <is>
          <t>Хит</t>
        </is>
      </c>
      <c r="L30" s="8" t="inlineStr">
        <is>
          <t>https://dauer.ru/catalog/shtukaturki/slider-interier-36w-shtukaturka-gipsovaya-universalnaya-belaya-90-2-0-gost-r-58279-2018/</t>
        </is>
      </c>
    </row>
    <row r="31">
      <c r="A31" s="8" t="inlineStr">
        <is>
          <t>Dauer</t>
        </is>
      </c>
      <c r="B31" s="8" t="inlineStr">
        <is>
          <t>product</t>
        </is>
      </c>
      <c r="C31" s="8" t="inlineStr">
        <is>
          <t>Dauer SLIDER® 36 Штукатурка гипсовая универсальная серая</t>
        </is>
      </c>
      <c r="D31" s="8" t="inlineStr">
        <is>
          <t>Dauer SLIDER 36</t>
        </is>
      </c>
      <c r="E31" s="8" t="inlineStr">
        <is>
          <t>серая</t>
        </is>
      </c>
      <c r="F31" s="8" t="inlineStr">
        <is>
          <t>plaster_gypsum</t>
        </is>
      </c>
      <c r="G31" s="8" t="inlineStr">
        <is>
          <t>yes</t>
        </is>
      </c>
      <c r="H31" s="8" t="inlineStr">
        <is>
          <t>Для машинного и ручного выравнивания стен: сплошного (от 5 до 50 мм) и частичного при локальном выравнивании (до 60 мм), выравнивания потолков (до 10 мм) – внутри помещений с умеренной влажностью под последующую отделку (финишное тонкослойное шпатлевание, оклейку обоями, многослойное окрашивание).</t>
        </is>
      </c>
      <c r="I31" s="8" t="inlineStr">
        <is>
          <t>30 кг.</t>
        </is>
      </c>
      <c r="J31" s="8" t="inlineStr">
        <is>
          <t>9 – 10 кг/м²</t>
        </is>
      </c>
      <c r="K31" s="8" t="inlineStr"/>
      <c r="L31" s="8" t="inlineStr">
        <is>
          <t>https://dauer.ru/catalog/shtukaturki/slider-36/</t>
        </is>
      </c>
    </row>
    <row r="32">
      <c r="A32" s="8" t="inlineStr">
        <is>
          <t>Dauer</t>
        </is>
      </c>
      <c r="B32" s="8" t="inlineStr">
        <is>
          <t>product</t>
        </is>
      </c>
      <c r="C32" s="8" t="inlineStr">
        <is>
          <t>Dauer SLIDER® 37W Штукатурка гипсовая тёплая армированная белая</t>
        </is>
      </c>
      <c r="D32" s="8" t="inlineStr">
        <is>
          <t>Dauer SLIDER 37</t>
        </is>
      </c>
      <c r="E32" s="8" t="inlineStr">
        <is>
          <t>белая (W)</t>
        </is>
      </c>
      <c r="F32" s="8" t="inlineStr">
        <is>
          <t>plaster_gypsum</t>
        </is>
      </c>
      <c r="G32" s="8" t="inlineStr">
        <is>
          <t>yes</t>
        </is>
      </c>
      <c r="H32" s="8" t="inlineStr">
        <is>
          <t>Для машинного и ручного выравнивания стен: сплошного (от 3 до 50 мм) и частичного, при локальном выравнивании (до 80 мм), для выравнивания потолков (до 30 мм), внутри помещений с умеренной влажностью под последующую отделку (финишное тонкослойное шпатлевание, оклейку обоями, многослойное окрашивание).</t>
        </is>
      </c>
      <c r="I32" s="8" t="inlineStr">
        <is>
          <t>30 кг.</t>
        </is>
      </c>
      <c r="J32" s="8" t="inlineStr">
        <is>
          <t>0,8 кг/м²</t>
        </is>
      </c>
      <c r="K32" s="8" t="inlineStr"/>
      <c r="L32" s="8" t="inlineStr">
        <is>
          <t>https://dauer.ru/catalog/shtukaturki/slider-37w/</t>
        </is>
      </c>
    </row>
    <row r="33">
      <c r="A33" s="8" t="inlineStr">
        <is>
          <t>Dauer</t>
        </is>
      </c>
      <c r="B33" s="8" t="inlineStr">
        <is>
          <t>product</t>
        </is>
      </c>
      <c r="C33" s="8" t="inlineStr">
        <is>
          <t>Dauer SLIDER® 37 Штукатурка гипсовая теплая армированная</t>
        </is>
      </c>
      <c r="D33" s="8" t="inlineStr">
        <is>
          <t>Dauer SLIDER 37</t>
        </is>
      </c>
      <c r="E33" s="8" t="inlineStr">
        <is>
          <t>серая</t>
        </is>
      </c>
      <c r="F33" s="8" t="inlineStr">
        <is>
          <t>plaster_gypsum</t>
        </is>
      </c>
      <c r="G33" s="8" t="inlineStr">
        <is>
          <t>yes</t>
        </is>
      </c>
      <c r="H33" s="8" t="inlineStr">
        <is>
          <t>Для машинного и ручного выравнивания стен: сплошного (от 3 до 50 мм) и частичного, при локальном выравнивании (до 80 мм), для выравнивания потолков (до 30 мм), внутри помещений с умеренной влажностью под последующую отделку (финишное тонкослойное шпатлевание, оклейку обоями, многослойное окрашивание).</t>
        </is>
      </c>
      <c r="I33" s="8" t="inlineStr">
        <is>
          <t>30 кг.</t>
        </is>
      </c>
      <c r="J33" s="8" t="inlineStr">
        <is>
          <t>0,8 кг/м²</t>
        </is>
      </c>
      <c r="K33" s="8" t="inlineStr"/>
      <c r="L33" s="8" t="inlineStr">
        <is>
          <t>https://dauer.ru/catalog/shtukaturki/slider-37/</t>
        </is>
      </c>
    </row>
    <row r="34">
      <c r="A34" s="8" t="inlineStr">
        <is>
          <t>Dauer</t>
        </is>
      </c>
      <c r="B34" s="8" t="inlineStr">
        <is>
          <t>product</t>
        </is>
      </c>
      <c r="C34" s="8" t="inlineStr">
        <is>
          <t>Dauer SLIDER® 38W Штукатурка гипсовая легкая с перлитом белая</t>
        </is>
      </c>
      <c r="D34" s="8" t="inlineStr">
        <is>
          <t>Dauer SLIDER 38</t>
        </is>
      </c>
      <c r="E34" s="8" t="inlineStr">
        <is>
          <t>белая (W)</t>
        </is>
      </c>
      <c r="F34" s="8" t="inlineStr">
        <is>
          <t>plaster_gypsum</t>
        </is>
      </c>
      <c r="G34" s="8" t="inlineStr">
        <is>
          <t>yes</t>
        </is>
      </c>
      <c r="H34" s="8" t="inlineStr">
        <is>
          <t>Для машинного и ручного выравнивания стен: сплошного (от 3 до 50 мм) и частичного, при локальном выравнивании (до 80 мм), для выравнивания потолков (до 30 мм), внутри помещений с умеренной влажностью под последующую отделку (шпатлевание, оклейку обоями, многослойное окрашивание).</t>
        </is>
      </c>
      <c r="I34" s="8" t="inlineStr">
        <is>
          <t>30 кг.</t>
        </is>
      </c>
      <c r="J34" s="8" t="inlineStr">
        <is>
          <t>9 кг/м²</t>
        </is>
      </c>
      <c r="K34" s="8" t="inlineStr">
        <is>
          <t>Хит</t>
        </is>
      </c>
      <c r="L34" s="8" t="inlineStr">
        <is>
          <t>https://dauer.ru/catalog/shtukaturki/slider-38w/</t>
        </is>
      </c>
    </row>
    <row r="35">
      <c r="A35" s="8" t="inlineStr">
        <is>
          <t>Dauer</t>
        </is>
      </c>
      <c r="B35" s="8" t="inlineStr">
        <is>
          <t>product</t>
        </is>
      </c>
      <c r="C35" s="8" t="inlineStr">
        <is>
          <t>Dauer SLIDER® 38 Штукатурка гипсовая легкая с перлитом</t>
        </is>
      </c>
      <c r="D35" s="8" t="inlineStr">
        <is>
          <t>Dauer SLIDER 38</t>
        </is>
      </c>
      <c r="E35" s="8" t="inlineStr">
        <is>
          <t>серая</t>
        </is>
      </c>
      <c r="F35" s="8" t="inlineStr">
        <is>
          <t>plaster_gypsum</t>
        </is>
      </c>
      <c r="G35" s="8" t="inlineStr">
        <is>
          <t>yes</t>
        </is>
      </c>
      <c r="H35" s="8" t="inlineStr">
        <is>
          <t>Для машинного и ручного выравнивания стен: сплошного (от 3 до 50 мм) и частичного, при локальном выравнивании (до 80 мм), для выравнивания потолков (до 30 мм), внутри помещений с умеренной влажностью под последующую отделку (шпатлевание, оклейку обоями, многослойное окрашивание).</t>
        </is>
      </c>
      <c r="I35" s="8" t="inlineStr">
        <is>
          <t>30 кг.</t>
        </is>
      </c>
      <c r="J35" s="8" t="inlineStr">
        <is>
          <t>0,8 кг/м²</t>
        </is>
      </c>
      <c r="K35" s="8" t="inlineStr">
        <is>
          <t>Хит</t>
        </is>
      </c>
      <c r="L35" s="8" t="inlineStr">
        <is>
          <t>https://dauer.ru/catalog/shtukaturki/slider-38/</t>
        </is>
      </c>
    </row>
    <row r="36">
      <c r="A36" s="8" t="inlineStr">
        <is>
          <t>Dauer</t>
        </is>
      </c>
      <c r="B36" s="8" t="inlineStr">
        <is>
          <t>product</t>
        </is>
      </c>
      <c r="C36" s="8" t="inlineStr">
        <is>
          <t>Dauer SLIDER® 39 Штукатурка гипсовая универсальная влагостойкая</t>
        </is>
      </c>
      <c r="D36" s="8" t="inlineStr">
        <is>
          <t>Dauer SLIDER 39</t>
        </is>
      </c>
      <c r="E36" s="8" t="inlineStr"/>
      <c r="F36" s="8" t="inlineStr">
        <is>
          <t>plaster_gypsum</t>
        </is>
      </c>
      <c r="G36" s="8" t="inlineStr">
        <is>
          <t>yes</t>
        </is>
      </c>
      <c r="H36" s="8" t="inlineStr">
        <is>
          <t>Для машинного и ручного выравнивания стен: сплошного (от 5 до 50 мм) и частичного при локальном выравнивании (до 80 мм), для выравнивания потолков (до 20 мм), внутри помещений с нормальной и повышенной влажностью под последующую отделку: финишное тонкослойное шпатлевание, оклейку обоями, многослойное окрашивание, облицовку керамической плиткой малого формата (размер грани не более 30 см) с тщательной затиркой межплиточных швов.</t>
        </is>
      </c>
      <c r="I36" s="8" t="inlineStr">
        <is>
          <t>30 кг.</t>
        </is>
      </c>
      <c r="J36" s="8" t="inlineStr">
        <is>
          <t>10 – 11 кг/м²</t>
        </is>
      </c>
      <c r="K36" s="8" t="inlineStr"/>
      <c r="L36" s="8" t="inlineStr">
        <is>
          <t>https://dauer.ru/catalog/shtukaturki/slider-39/</t>
        </is>
      </c>
    </row>
    <row r="37">
      <c r="A37" s="8" t="inlineStr">
        <is>
          <t>Dauer</t>
        </is>
      </c>
      <c r="B37" s="8" t="inlineStr">
        <is>
          <t>product</t>
        </is>
      </c>
      <c r="C37" s="8" t="inlineStr">
        <is>
          <t>Dauer SLIDER® Адгезив высокопрочный обрызг</t>
        </is>
      </c>
      <c r="D37" s="8" t="inlineStr">
        <is>
          <t>Dauer SLIDER Адгезив</t>
        </is>
      </c>
      <c r="E37" s="8" t="inlineStr"/>
      <c r="F37" s="8" t="inlineStr">
        <is>
          <t>plaster_facade_base</t>
        </is>
      </c>
      <c r="G37" s="8" t="inlineStr">
        <is>
          <t>yes</t>
        </is>
      </c>
      <c r="H37" s="8" t="inlineStr">
        <is>
          <t>Штукатурный цементный обрызг высокопрочный SLIDER® Адгезив используется для создания шероховатого, структурного, слоя на гладких слабовпитывающих поверхностях и основаниях, для укрепления и выравнивания впитывающей способности комбинированных оснований.</t>
        </is>
      </c>
      <c r="I37" s="8" t="inlineStr">
        <is>
          <t>25 кг.</t>
        </is>
      </c>
      <c r="J37" s="8" t="inlineStr">
        <is>
          <t>1,6 кг/м2</t>
        </is>
      </c>
      <c r="K37" s="8" t="inlineStr">
        <is>
          <t>Новинка</t>
        </is>
      </c>
      <c r="L37" s="8" t="inlineStr">
        <is>
          <t>https://dauer.ru/catalog/shtukaturki/slider-fasad-adhesive/</t>
        </is>
      </c>
    </row>
    <row r="38">
      <c r="A38" s="8" t="inlineStr">
        <is>
          <t>Dauer</t>
        </is>
      </c>
      <c r="B38" s="8" t="inlineStr">
        <is>
          <t>product</t>
        </is>
      </c>
      <c r="C38" s="8" t="inlineStr">
        <is>
          <t>Dauer SLIDER® Легкая Штукатурка цементно-известковая легкая</t>
        </is>
      </c>
      <c r="D38" s="8" t="inlineStr">
        <is>
          <t>Dauer SLIDER Легкая</t>
        </is>
      </c>
      <c r="E38" s="8" t="inlineStr"/>
      <c r="F38" s="8" t="inlineStr">
        <is>
          <t>plaster_cement</t>
        </is>
      </c>
      <c r="G38" s="8" t="inlineStr">
        <is>
          <t>yes</t>
        </is>
      </c>
      <c r="H38" s="8" t="inlineStr">
        <is>
          <t>Легкая штукатурка для ручного и механизированного высококачественного выравнивания (слой 5 – 50 мм, локально до 80 мм) поверхности фасадов зданий и сооружений, стен внутри всех видов помещений в т.ч. влажных и неотапливаемых: подвалы, балконы и лоджии, паркинги, лестничные пролеты, марши, склады, другие помещения с переменной влажностью, а также для предварительного выравнивания потолков.</t>
        </is>
      </c>
      <c r="I38" s="8" t="inlineStr">
        <is>
          <t>30 кг.</t>
        </is>
      </c>
      <c r="J38" s="8" t="inlineStr">
        <is>
          <t>9 - 10 кг/м2</t>
        </is>
      </c>
      <c r="K38" s="8" t="inlineStr">
        <is>
          <t>Новинка</t>
        </is>
      </c>
      <c r="L38" s="8" t="inlineStr">
        <is>
          <t>https://dauer.ru/catalog/shtukaturki/slider-light/</t>
        </is>
      </c>
    </row>
    <row r="39">
      <c r="A39" s="8" t="inlineStr">
        <is>
          <t>Dauer</t>
        </is>
      </c>
      <c r="B39" s="8" t="inlineStr">
        <is>
          <t>product</t>
        </is>
      </c>
      <c r="C39" s="8" t="inlineStr">
        <is>
          <t>Dauer TEFIX LM Кладочный раствор для теплой керамики</t>
        </is>
      </c>
      <c r="D39" s="8" t="inlineStr">
        <is>
          <t>Dauer TEFIX LM</t>
        </is>
      </c>
      <c r="E39" s="8" t="inlineStr"/>
      <c r="F39" s="8" t="inlineStr">
        <is>
          <t>masonry_thermal</t>
        </is>
      </c>
      <c r="G39" s="8" t="inlineStr">
        <is>
          <t>yes</t>
        </is>
      </c>
      <c r="H39" s="8" t="inlineStr">
        <is>
          <t>Предназначен для возведения несущих и ограждающих конструкций из «теплой» керамики, газобетона и легкого пустотелого кирпича, а также блоков из бетона на пористых заполнителях (керамзитобетон).</t>
        </is>
      </c>
      <c r="I39" s="8" t="inlineStr">
        <is>
          <t>20 кг.</t>
        </is>
      </c>
      <c r="J39" s="8" t="inlineStr">
        <is>
          <t>Расход раствора при слое шва 12 мм</t>
        </is>
      </c>
      <c r="K39" s="8" t="inlineStr">
        <is>
          <t>Хит</t>
        </is>
      </c>
      <c r="L39" s="8" t="inlineStr">
        <is>
          <t>https://dauer.ru/catalog/montazhnye-i-kladochnye/tefix-lm-kladochnyy-rastvor/</t>
        </is>
      </c>
    </row>
    <row r="40">
      <c r="A40" s="8" t="inlineStr">
        <is>
          <t>Dauer</t>
        </is>
      </c>
      <c r="B40" s="8" t="inlineStr">
        <is>
          <t>product</t>
        </is>
      </c>
      <c r="C40" s="8" t="inlineStr">
        <is>
          <t>Dauer TEFIX SM Кладочный раствор теплоизоляционный</t>
        </is>
      </c>
      <c r="D40" s="8" t="inlineStr">
        <is>
          <t>Dauer TEFIX SM</t>
        </is>
      </c>
      <c r="E40" s="8" t="inlineStr"/>
      <c r="F40" s="8" t="inlineStr">
        <is>
          <t>masonry_thermal</t>
        </is>
      </c>
      <c r="G40" s="8" t="inlineStr">
        <is>
          <t>yes</t>
        </is>
      </c>
      <c r="H40" s="8" t="inlineStr">
        <is>
          <t>Предназначен для возведения несущих и ограждающих стен из поризованных керамических блоков, легких блоков из ячеистого бетона (в т.ч. пено- и газобетон), а также блоков из бетона на пористых заполнителях (керамзитобетон).</t>
        </is>
      </c>
      <c r="I40" s="8" t="inlineStr">
        <is>
          <t>25 кг.</t>
        </is>
      </c>
      <c r="J40" s="8" t="inlineStr">
        <is>
          <t>РАСХОД РАСТВОРА ПРИ СЛОЕ ШВА 12 мм</t>
        </is>
      </c>
      <c r="K40" s="8" t="inlineStr"/>
      <c r="L40" s="8" t="inlineStr">
        <is>
          <t>https://dauer.ru/catalog/montazhnye-i-kladochnye/quader-tefix-sm/</t>
        </is>
      </c>
    </row>
    <row r="41">
      <c r="A41" s="8" t="inlineStr">
        <is>
          <t>Dauer</t>
        </is>
      </c>
      <c r="B41" s="8" t="inlineStr">
        <is>
          <t>product</t>
        </is>
      </c>
      <c r="C41" s="8" t="inlineStr">
        <is>
          <t>Dauer TEFIX SW Кладочный раствор для теплой керамики</t>
        </is>
      </c>
      <c r="D41" s="8" t="inlineStr">
        <is>
          <t>Dauer TEFIX SW</t>
        </is>
      </c>
      <c r="E41" s="8" t="inlineStr"/>
      <c r="F41" s="8" t="inlineStr">
        <is>
          <t>masonry_thermal</t>
        </is>
      </c>
      <c r="G41" s="8" t="inlineStr">
        <is>
          <t>yes</t>
        </is>
      </c>
      <c r="H41" s="8" t="inlineStr">
        <is>
          <t>Предназначен для возведения несущих и ограждающих конструкций из «теплой» керамики, газобетона и легкого пустотелого кирпича, а также блоков из бетона на пористых заполнителях (керамзитобетон).</t>
        </is>
      </c>
      <c r="I41" s="8" t="inlineStr">
        <is>
          <t>17,5 кг.</t>
        </is>
      </c>
      <c r="J41" s="8" t="inlineStr"/>
      <c r="K41" s="8" t="inlineStr">
        <is>
          <t>Новинка</t>
        </is>
      </c>
      <c r="L41" s="8" t="inlineStr">
        <is>
          <t>https://dauer.ru/catalog/montazhnye-i-kladochnye/tefix-sw/</t>
        </is>
      </c>
    </row>
    <row r="42">
      <c r="A42" s="8" t="inlineStr">
        <is>
          <t>Dauer</t>
        </is>
      </c>
      <c r="B42" s="8" t="inlineStr">
        <is>
          <t>product</t>
        </is>
      </c>
      <c r="C42" s="8" t="inlineStr">
        <is>
          <t>Dauer® Сухая смесь М-150 Универсальная</t>
        </is>
      </c>
      <c r="D42" s="8" t="inlineStr">
        <is>
          <t>Dauer М-150 Универсальная</t>
        </is>
      </c>
      <c r="E42" s="8" t="inlineStr"/>
      <c r="F42" s="8" t="inlineStr">
        <is>
          <t>masonry_universal_cps</t>
        </is>
      </c>
      <c r="G42" s="8" t="inlineStr">
        <is>
          <t>yes</t>
        </is>
      </c>
      <c r="H42" s="8" t="inlineStr">
        <is>
          <t>Сухая смесь универсальная предназначена для возведения стен и перегородок из кирпича и мелкоштучных элементов, для работ по заделке полостей, выбоин и трещин, производства различных монтажных и штукатурных работ, а также для укладки тротуарной плитки.</t>
        </is>
      </c>
      <c r="I42" s="8" t="inlineStr">
        <is>
          <t>30 кг, 40 кг, 50 кг</t>
        </is>
      </c>
      <c r="J42" s="8" t="inlineStr">
        <is>
          <t>19 кг/м²</t>
        </is>
      </c>
      <c r="K42" s="8" t="inlineStr"/>
      <c r="L42" s="8" t="inlineStr">
        <is>
          <t>https://dauer.ru/catalog/tsementno-peschanye-smesi/sukhaya_smes_m_150_universalnaya/</t>
        </is>
      </c>
    </row>
    <row r="43">
      <c r="A43" s="8" t="inlineStr">
        <is>
          <t>Dauer</t>
        </is>
      </c>
      <c r="B43" s="8" t="inlineStr">
        <is>
          <t>product</t>
        </is>
      </c>
      <c r="C43" s="8" t="inlineStr">
        <is>
          <t>Dauer® Сухая смесь М-150 Штукатурная</t>
        </is>
      </c>
      <c r="D43" s="8" t="inlineStr">
        <is>
          <t>Dauer М-150 Штукатурная</t>
        </is>
      </c>
      <c r="E43" s="8" t="inlineStr"/>
      <c r="F43" s="8" t="inlineStr">
        <is>
          <t>masonry_universal_cps</t>
        </is>
      </c>
      <c r="G43" s="8" t="inlineStr">
        <is>
          <t>yes</t>
        </is>
      </c>
      <c r="H43" s="8" t="inlineStr">
        <is>
          <t>Сухая смесь штукатурная предназначена для оштукатуривания стен из бетона, кирпича, камня.</t>
        </is>
      </c>
      <c r="I43" s="8" t="inlineStr">
        <is>
          <t>на 1 мешок 50 кг</t>
        </is>
      </c>
      <c r="J43" s="8" t="inlineStr">
        <is>
          <t>19 кг/м²</t>
        </is>
      </c>
      <c r="K43" s="8" t="inlineStr"/>
      <c r="L43" s="8" t="inlineStr">
        <is>
          <t>https://dauer.ru/catalog/tsementno-peschanye-smesi/sukhaya_smes_m_150_shtukaturnaya/</t>
        </is>
      </c>
    </row>
    <row r="44">
      <c r="A44" s="8" t="inlineStr">
        <is>
          <t>Dauer</t>
        </is>
      </c>
      <c r="B44" s="8" t="inlineStr">
        <is>
          <t>product</t>
        </is>
      </c>
      <c r="C44" s="8" t="inlineStr">
        <is>
          <t>Dauer® Сухая смесь М-200 Монтажно-кладочная</t>
        </is>
      </c>
      <c r="D44" s="8" t="inlineStr">
        <is>
          <t>Dauer М-200 Монтажно-кладочная</t>
        </is>
      </c>
      <c r="E44" s="8" t="inlineStr"/>
      <c r="F44" s="8" t="inlineStr">
        <is>
          <t>masonry_universal_cps</t>
        </is>
      </c>
      <c r="G44" s="8" t="inlineStr">
        <is>
          <t>yes</t>
        </is>
      </c>
      <c r="H44" s="8" t="inlineStr">
        <is>
          <t>Сухая смесь монтажно-кладочная предназначена для выполнения общестроительных работ: устройство "мокрых" стяжек; заделка швов, трещин, выбоин, углублений; возведение стен и конструкций из полнотелого рядового кирпича, полнотелых бетонных блоков и природного камня.</t>
        </is>
      </c>
      <c r="I44" s="8" t="inlineStr">
        <is>
          <t>на 1 мешок 50 кг</t>
        </is>
      </c>
      <c r="J44" s="8" t="inlineStr">
        <is>
          <t>20 кг/м²</t>
        </is>
      </c>
      <c r="K44" s="8" t="inlineStr"/>
      <c r="L44" s="8" t="inlineStr">
        <is>
          <t>https://dauer.ru/catalog/tsementno-peschanye-smesi/sukhaya_smes_m_200_montazhno_kladochnaya/</t>
        </is>
      </c>
    </row>
    <row r="45">
      <c r="A45" s="8" t="inlineStr">
        <is>
          <t>Dauer</t>
        </is>
      </c>
      <c r="B45" s="8" t="inlineStr">
        <is>
          <t>product</t>
        </is>
      </c>
      <c r="C45" s="8" t="inlineStr">
        <is>
          <t>Dauer® Сухая смесь М-300 Пескобетон</t>
        </is>
      </c>
      <c r="D45" s="8" t="inlineStr">
        <is>
          <t>Dauer М-300 Пескобетон</t>
        </is>
      </c>
      <c r="E45" s="8" t="inlineStr"/>
      <c r="F45" s="8" t="inlineStr">
        <is>
          <t>masonry_universal_cps</t>
        </is>
      </c>
      <c r="G45" s="8" t="inlineStr">
        <is>
          <t>yes</t>
        </is>
      </c>
      <c r="H45" s="8" t="inlineStr">
        <is>
          <t>Сухая смесь пескобетон предназначена для выполнения общестроительных работ: устройство высокопрочных стяжек ("мокрого" типа); заделка швов, трещин, выбоин, углублений; крепление металлических элементов и монтаж железобетонных конструкций; возведение стен и конструкций из полнотелого рядового кирпича, полнотелых бетонных блоков и природного камня.</t>
        </is>
      </c>
      <c r="I45" s="8" t="inlineStr">
        <is>
          <t>30 кг, 40 кг, 50 кг</t>
        </is>
      </c>
      <c r="J45" s="8" t="inlineStr">
        <is>
          <t>20 кг/м²</t>
        </is>
      </c>
      <c r="K45" s="8" t="inlineStr"/>
      <c r="L45" s="8" t="inlineStr">
        <is>
          <t>https://dauer.ru/catalog/tsementno-peschanye-smesi/sukhaya_smes_m_300_peskobeton/</t>
        </is>
      </c>
    </row>
    <row r="46">
      <c r="A46" s="8" t="inlineStr">
        <is>
          <t>Dauer</t>
        </is>
      </c>
      <c r="B46" s="8" t="inlineStr">
        <is>
          <t>product</t>
        </is>
      </c>
      <c r="C46" s="8" t="inlineStr">
        <is>
          <t>Dauer® Сухая смесь М-400 Пескобетон высокопрочный</t>
        </is>
      </c>
      <c r="D46" s="8" t="inlineStr">
        <is>
          <t>Dauer М-400 Пескобетон высокопрочный</t>
        </is>
      </c>
      <c r="E46" s="8" t="inlineStr"/>
      <c r="F46" s="8" t="inlineStr">
        <is>
          <t>masonry_universal_cps</t>
        </is>
      </c>
      <c r="G46" s="8" t="inlineStr">
        <is>
          <t>yes</t>
        </is>
      </c>
      <c r="H46" s="8" t="inlineStr">
        <is>
          <t>Сухая смесь пескобетон предназначена для выполнения общестроительных работ: устройство высокопрочных стяжек ("мокрого" типа); заделка швов, трещин, выбоин, углублений; крепление металлических элементов и монтаж железобетонных конструкций; возведение стен и конструкций из полнотелого рядового кирпича, полнотелых бетонных блоков и природного камня.</t>
        </is>
      </c>
      <c r="I46" s="8" t="inlineStr">
        <is>
          <t>40 кг</t>
        </is>
      </c>
      <c r="J46" s="8" t="inlineStr">
        <is>
          <t>20 кг/м²</t>
        </is>
      </c>
      <c r="K46" s="8" t="inlineStr">
        <is>
          <t>Новинка</t>
        </is>
      </c>
      <c r="L46" s="8" t="inlineStr">
        <is>
          <t>https://dauer.ru/catalog/tsementno-peschanye-smesi/sukhaya-smes-m-400-peskobeton-vysokoprochnyy/</t>
        </is>
      </c>
    </row>
    <row r="47">
      <c r="A47" s="8" t="inlineStr">
        <is>
          <t>Основит</t>
        </is>
      </c>
      <c r="B47" s="8" t="inlineStr">
        <is>
          <t>product_group_landing</t>
        </is>
      </c>
      <c r="C47" s="8" t="inlineStr">
        <is>
          <t>Гидроизоляция Основит</t>
        </is>
      </c>
      <c r="D47" s="8" t="inlineStr"/>
      <c r="E47" s="8" t="inlineStr"/>
      <c r="F47" s="8" t="inlineStr">
        <is>
          <t>other</t>
        </is>
      </c>
      <c r="G47" s="8" t="inlineStr">
        <is>
          <t>unclear</t>
        </is>
      </c>
      <c r="H47" s="8" t="inlineStr"/>
      <c r="I47" s="8" t="inlineStr"/>
      <c r="J47" s="8" t="inlineStr"/>
      <c r="K47" s="8" t="inlineStr"/>
      <c r="L47" s="8" t="inlineStr">
        <is>
          <t>https://osnovit.ru/catalog/gidroizolyatsiya/</t>
        </is>
      </c>
    </row>
    <row r="48">
      <c r="A48" s="8" t="inlineStr">
        <is>
          <t>Основит</t>
        </is>
      </c>
      <c r="B48" s="8" t="inlineStr">
        <is>
          <t>product_group_landing</t>
        </is>
      </c>
      <c r="C48" s="8" t="inlineStr">
        <is>
          <t>Смеси для пола Основит</t>
        </is>
      </c>
      <c r="D48" s="8" t="inlineStr"/>
      <c r="E48" s="8" t="inlineStr"/>
      <c r="F48" s="8" t="inlineStr">
        <is>
          <t>floor_self_leveling</t>
        </is>
      </c>
      <c r="G48" s="8" t="inlineStr">
        <is>
          <t>yes</t>
        </is>
      </c>
      <c r="H48" s="8" t="inlineStr">
        <is>
          <t>В ассортименте представлены все необходимые материалы для подготовки основания: от черновых стяжек до финишных наливных покрытий.</t>
        </is>
      </c>
      <c r="I48" s="8" t="inlineStr"/>
      <c r="J48" s="8" t="inlineStr"/>
      <c r="K48" s="8" t="inlineStr"/>
      <c r="L48" s="8" t="inlineStr">
        <is>
          <t>https://osnovit.ru/catalog/smesi-dlya-ustroystva-pola/</t>
        </is>
      </c>
    </row>
    <row r="49">
      <c r="A49" s="8" t="inlineStr">
        <is>
          <t>Основит</t>
        </is>
      </c>
      <c r="B49" s="8" t="inlineStr">
        <is>
          <t>product_group_landing</t>
        </is>
      </c>
      <c r="C49" s="8" t="inlineStr">
        <is>
          <t>Стяжки для пола Основит</t>
        </is>
      </c>
      <c r="D49" s="8" t="inlineStr"/>
      <c r="E49" s="8" t="inlineStr"/>
      <c r="F49" s="8" t="inlineStr">
        <is>
          <t>floor_screed</t>
        </is>
      </c>
      <c r="G49" s="8" t="inlineStr">
        <is>
          <t>yes</t>
        </is>
      </c>
      <c r="H49" s="8" t="inlineStr">
        <is>
          <t>Смеси Основит Стартолайн предназначены для предварительного выравнивания бетонных и цементно-песчаных оснований, устройства стяжек всех типов, включая «плавающие», и укрытия трубопроводов.</t>
        </is>
      </c>
      <c r="I49" s="8" t="inlineStr"/>
      <c r="J49" s="8" t="inlineStr"/>
      <c r="K49" s="8" t="inlineStr"/>
      <c r="L49" s="8" t="inlineStr">
        <is>
          <t>https://osnovit.ru/catalog/styazhki/</t>
        </is>
      </c>
    </row>
    <row r="50">
      <c r="A50" s="8" t="inlineStr">
        <is>
          <t>Основит</t>
        </is>
      </c>
      <c r="B50" s="8" t="inlineStr">
        <is>
          <t>product_group_landing</t>
        </is>
      </c>
      <c r="C50" s="8" t="inlineStr">
        <is>
          <t>Теплоизоляционные кладочные растворы Основит</t>
        </is>
      </c>
      <c r="D50" s="8" t="inlineStr"/>
      <c r="E50" s="8" t="inlineStr"/>
      <c r="F50" s="8" t="inlineStr">
        <is>
          <t>masonry_thermal</t>
        </is>
      </c>
      <c r="G50" s="8" t="inlineStr">
        <is>
          <t>unclear</t>
        </is>
      </c>
      <c r="H50" s="8" t="inlineStr">
        <is>
          <t>Теплоизоляционные кладочные смеси Основит Путформ решают эту задачу: они обладают пониженной теплопроводностью, высокой пластичностью и обеспечивают однородную кладку без теплопотерь через швы.</t>
        </is>
      </c>
      <c r="I50" s="8" t="inlineStr"/>
      <c r="J50" s="8" t="inlineStr"/>
      <c r="K50" s="8" t="inlineStr">
        <is>
          <t>Зима</t>
        </is>
      </c>
      <c r="L50" s="8" t="inlineStr">
        <is>
          <t>https://osnovit.ru/catalog/teploizolyatsionnye-kladochnye-rastvory/</t>
        </is>
      </c>
    </row>
    <row r="51">
      <c r="A51" s="8" t="inlineStr">
        <is>
          <t>Основит</t>
        </is>
      </c>
      <c r="B51" s="8" t="inlineStr">
        <is>
          <t>product_group_landing</t>
        </is>
      </c>
      <c r="C51" s="8" t="inlineStr">
        <is>
          <t>Цветные кладочные растворы Основит</t>
        </is>
      </c>
      <c r="D51" s="8" t="inlineStr"/>
      <c r="E51" s="8" t="inlineStr"/>
      <c r="F51" s="8" t="inlineStr">
        <is>
          <t>masonry_colored</t>
        </is>
      </c>
      <c r="G51" s="8" t="inlineStr">
        <is>
          <t>unclear</t>
        </is>
      </c>
      <c r="H51" s="8" t="inlineStr">
        <is>
          <t>Облицовочный кладочный раствор Основит для кирпича с высоким водопоглощением</t>
        </is>
      </c>
      <c r="I51" s="8" t="inlineStr"/>
      <c r="J51" s="8" t="inlineStr"/>
      <c r="K51" s="8" t="inlineStr">
        <is>
          <t>Колеровка, Зима, Новинка</t>
        </is>
      </c>
      <c r="L51" s="8" t="inlineStr">
        <is>
          <t>https://osnovit.ru/catalog/tsvetnye-kladochnye-rastvory/</t>
        </is>
      </c>
    </row>
    <row r="52">
      <c r="A52" s="8" t="inlineStr">
        <is>
          <t>Основит</t>
        </is>
      </c>
      <c r="B52" s="8" t="inlineStr">
        <is>
          <t>product_group_landing</t>
        </is>
      </c>
      <c r="C52" s="8" t="inlineStr">
        <is>
          <t>Шпаклевка Основит</t>
        </is>
      </c>
      <c r="D52" s="8" t="inlineStr"/>
      <c r="E52" s="8" t="inlineStr"/>
      <c r="F52" s="8" t="inlineStr">
        <is>
          <t>other</t>
        </is>
      </c>
      <c r="G52" s="8" t="inlineStr">
        <is>
          <t>unclear</t>
        </is>
      </c>
      <c r="H52" s="8" t="inlineStr">
        <is>
          <t>Шпаклевка — материал для финишного выравнивания поверхностей перед нанесением декоративных покрытий.</t>
        </is>
      </c>
      <c r="I52" s="8" t="inlineStr"/>
      <c r="J52" s="8" t="inlineStr"/>
      <c r="K52" s="8" t="inlineStr"/>
      <c r="L52" s="8" t="inlineStr">
        <is>
          <t>https://osnovit.ru/catalog/shpaklevki/</t>
        </is>
      </c>
    </row>
    <row r="53">
      <c r="A53" s="8" t="inlineStr">
        <is>
          <t>Основит</t>
        </is>
      </c>
      <c r="B53" s="8" t="inlineStr">
        <is>
          <t>product_group_landing</t>
        </is>
      </c>
      <c r="C53" s="8" t="inlineStr">
        <is>
          <t>Штукатурка Основит</t>
        </is>
      </c>
      <c r="D53" s="8" t="inlineStr"/>
      <c r="E53" s="8" t="inlineStr"/>
      <c r="F53" s="8" t="inlineStr">
        <is>
          <t>other</t>
        </is>
      </c>
      <c r="G53" s="8" t="inlineStr">
        <is>
          <t>unclear</t>
        </is>
      </c>
      <c r="H53" s="8" t="inlineStr">
        <is>
          <t>Штукатурка — это базовый материал для чернового выравнивания стен и потолков перед финишной отделкой.</t>
        </is>
      </c>
      <c r="I53" s="8" t="inlineStr"/>
      <c r="J53" s="8" t="inlineStr"/>
      <c r="K53" s="8" t="inlineStr"/>
      <c r="L53" s="8" t="inlineStr">
        <is>
          <t>https://osnovit.ru/catalog/shtukaturki/</t>
        </is>
      </c>
    </row>
    <row r="54">
      <c r="A54" s="8" t="inlineStr">
        <is>
          <t>Основит</t>
        </is>
      </c>
      <c r="B54" s="8" t="inlineStr">
        <is>
          <t>product_group_landing</t>
        </is>
      </c>
      <c r="C54" s="8" t="inlineStr">
        <is>
          <t>Ремонтный состав Основит</t>
        </is>
      </c>
      <c r="D54" s="8" t="inlineStr"/>
      <c r="E54" s="8" t="inlineStr"/>
      <c r="F54" s="8" t="inlineStr">
        <is>
          <t>concrete_repair</t>
        </is>
      </c>
      <c r="G54" s="8" t="inlineStr">
        <is>
          <t>unclear</t>
        </is>
      </c>
      <c r="H54" s="8" t="inlineStr">
        <is>
          <t>Для оперативного восстановления целостности оснований и надежной фиксации элементов разработаны ремонтные составы Основит Хардскрин.</t>
        </is>
      </c>
      <c r="I54" s="8" t="inlineStr"/>
      <c r="J54" s="8" t="inlineStr"/>
      <c r="K54" s="8" t="inlineStr"/>
      <c r="L54" s="8" t="inlineStr">
        <is>
          <t>https://osnovit.ru/catalog/remont-i-zashchita-betona/</t>
        </is>
      </c>
    </row>
    <row r="55">
      <c r="A55" s="8" t="inlineStr">
        <is>
          <t>Основит</t>
        </is>
      </c>
      <c r="B55" s="8" t="inlineStr">
        <is>
          <t>other</t>
        </is>
      </c>
      <c r="C55" s="8" t="inlineStr">
        <is>
          <t>РЕШЕНИЕ с газобетонным блоком, утеплителем и клинкерной плиткой</t>
        </is>
      </c>
      <c r="D55" s="8" t="inlineStr"/>
      <c r="E55" s="8" t="inlineStr"/>
      <c r="F55" s="8" t="inlineStr">
        <is>
          <t>other</t>
        </is>
      </c>
      <c r="G55" s="8" t="inlineStr">
        <is>
          <t>no</t>
        </is>
      </c>
      <c r="H55" s="8" t="inlineStr">
        <is>
          <t>Данное решение содержит все необходимые материалы для монтажа фасадной системы.</t>
        </is>
      </c>
      <c r="I55" s="8" t="inlineStr"/>
      <c r="J55" s="8" t="inlineStr"/>
      <c r="K55" s="8" t="inlineStr">
        <is>
          <t>Новинка</t>
        </is>
      </c>
      <c r="L55" s="8" t="inlineStr">
        <is>
          <t>https://osnovit.ru/catalog/resheniya-osnovit/reshenie-s-gazobetonnym-blokom-uteplitelem-i-klinkernoy-plitkoy/</t>
        </is>
      </c>
    </row>
    <row r="56">
      <c r="A56" s="8" t="inlineStr">
        <is>
          <t>Основит</t>
        </is>
      </c>
      <c r="B56" s="8" t="inlineStr">
        <is>
          <t>other</t>
        </is>
      </c>
      <c r="C56" s="8" t="inlineStr">
        <is>
          <t>Решение с минеральной ватой</t>
        </is>
      </c>
      <c r="D56" s="8" t="inlineStr"/>
      <c r="E56" s="8" t="inlineStr"/>
      <c r="F56" s="8" t="inlineStr">
        <is>
          <t>other</t>
        </is>
      </c>
      <c r="G56" s="8" t="inlineStr">
        <is>
          <t>no</t>
        </is>
      </c>
      <c r="H56" s="8" t="inlineStr">
        <is>
          <t>Данное решение содержит все необходимые материалы для монтажа фасадной системы.</t>
        </is>
      </c>
      <c r="I56" s="8" t="inlineStr"/>
      <c r="J56" s="8" t="inlineStr"/>
      <c r="K56" s="8" t="inlineStr">
        <is>
          <t>Новинка</t>
        </is>
      </c>
      <c r="L56" s="8" t="inlineStr">
        <is>
          <t>https://osnovit.ru/catalog/resheniya-osnovit/sftk-s-mineralnoy-vatoy/</t>
        </is>
      </c>
    </row>
    <row r="57">
      <c r="A57" s="8" t="inlineStr">
        <is>
          <t>Основит</t>
        </is>
      </c>
      <c r="B57" s="8" t="inlineStr">
        <is>
          <t>product</t>
        </is>
      </c>
      <c r="C57" s="8" t="inlineStr">
        <is>
          <t>Клей для блоков Основит PRO</t>
        </is>
      </c>
      <c r="D57" s="8" t="inlineStr">
        <is>
          <t>Основит PRO Клей для блоков</t>
        </is>
      </c>
      <c r="E57" s="8" t="inlineStr"/>
      <c r="F57" s="8" t="inlineStr">
        <is>
          <t>block_adhesive</t>
        </is>
      </c>
      <c r="G57" s="8" t="inlineStr">
        <is>
          <t>yes</t>
        </is>
      </c>
      <c r="H57" s="8" t="inlineStr">
        <is>
          <t>Клей для блоков ОСНОВИТ PRO используется в тонкослойной кладке стен и перегородок. Предназначен для пазовых и беспазовых блоков и плит на основе ячеистого бетона (пено- и газобетон), газосиликата и силиката.</t>
        </is>
      </c>
      <c r="I57" s="8" t="inlineStr">
        <is>
          <t>20 кг</t>
        </is>
      </c>
      <c r="J57" s="8" t="inlineStr">
        <is>
          <t>1,3 кг/м²</t>
        </is>
      </c>
      <c r="K57" s="8" t="inlineStr"/>
      <c r="L57" s="8" t="inlineStr">
        <is>
          <t>https://osnovit.ru/catalog/osnovit-pro/kley-dlya-blokov-osnovit-pro/</t>
        </is>
      </c>
    </row>
    <row r="58">
      <c r="A58" s="8" t="inlineStr">
        <is>
          <t>Основит</t>
        </is>
      </c>
      <c r="B58" s="8" t="inlineStr">
        <is>
          <t>product</t>
        </is>
      </c>
      <c r="C58" s="8" t="inlineStr">
        <is>
          <t>Наливной пол быстротвердеющий Основит PRO</t>
        </is>
      </c>
      <c r="D58" s="8" t="inlineStr">
        <is>
          <t>Основит PRO Наливной пол быстротвердеющий</t>
        </is>
      </c>
      <c r="E58" s="8" t="inlineStr"/>
      <c r="F58" s="8" t="inlineStr">
        <is>
          <t>floor_self_leveling</t>
        </is>
      </c>
      <c r="G58" s="8" t="inlineStr">
        <is>
          <t>yes</t>
        </is>
      </c>
      <c r="H58" s="8" t="inlineStr">
        <is>
          <t>Наливной пол быстротвердеющий ОСНОВИТ PRO предназначен для финишного выравнивания оснований слоем от 3 до 80 мм в жилых и офисных помещениях.</t>
        </is>
      </c>
      <c r="I58" s="8" t="inlineStr">
        <is>
          <t>20 кг</t>
        </is>
      </c>
      <c r="J58" s="8" t="inlineStr">
        <is>
          <t>14-15 кг/м²</t>
        </is>
      </c>
      <c r="K58" s="8" t="inlineStr"/>
      <c r="L58" s="8" t="inlineStr">
        <is>
          <t>https://osnovit.ru/catalog/osnovit-pro/pol-nalivnoy-bystro-pro/</t>
        </is>
      </c>
    </row>
    <row r="59">
      <c r="A59" s="8" t="inlineStr">
        <is>
          <t>Основит</t>
        </is>
      </c>
      <c r="B59" s="8" t="inlineStr">
        <is>
          <t>product</t>
        </is>
      </c>
      <c r="C59" s="8" t="inlineStr">
        <is>
          <t>Плиточный клей стандарт Основит PRO</t>
        </is>
      </c>
      <c r="D59" s="8" t="inlineStr">
        <is>
          <t>Основит PRO Плиточный клей стандарт</t>
        </is>
      </c>
      <c r="E59" s="8" t="inlineStr"/>
      <c r="F59" s="8" t="inlineStr">
        <is>
          <t>tile_adhesive</t>
        </is>
      </c>
      <c r="G59" s="8" t="inlineStr">
        <is>
          <t>yes</t>
        </is>
      </c>
      <c r="H59" s="8" t="inlineStr">
        <is>
          <t>Плиточный клей стандарт ОСНОВИТ PRO предназначен для облицовки стен и пола керамической плиткой, а также укладки напольных плит из керамогранита.</t>
        </is>
      </c>
      <c r="I59" s="8" t="inlineStr">
        <is>
          <t>25 кг</t>
        </is>
      </c>
      <c r="J59" s="8" t="inlineStr"/>
      <c r="K59" s="8" t="inlineStr"/>
      <c r="L59" s="8" t="inlineStr">
        <is>
          <t>https://osnovit.ru/catalog/osnovit-pro/plitochnyy-kley-standart-pro/</t>
        </is>
      </c>
    </row>
    <row r="60">
      <c r="A60" s="8" t="inlineStr">
        <is>
          <t>Основит</t>
        </is>
      </c>
      <c r="B60" s="8" t="inlineStr">
        <is>
          <t>product</t>
        </is>
      </c>
      <c r="C60" s="8" t="inlineStr">
        <is>
          <t>Стяжка армированная Основит PRO</t>
        </is>
      </c>
      <c r="D60" s="8" t="inlineStr">
        <is>
          <t>Основит PRO Стяжка армированная</t>
        </is>
      </c>
      <c r="E60" s="8" t="inlineStr"/>
      <c r="F60" s="8" t="inlineStr">
        <is>
          <t>floor_screed</t>
        </is>
      </c>
      <c r="G60" s="8" t="inlineStr">
        <is>
          <t>yes</t>
        </is>
      </c>
      <c r="H60" s="8" t="inlineStr">
        <is>
          <t>Стяжка ОСНОВИТ PRO предназначена для предварительного выравнивания оснований и устройства прочного пола в жилых, офисных, торговых и общественных помещениях.</t>
        </is>
      </c>
      <c r="I60" s="8" t="inlineStr">
        <is>
          <t>25 кг</t>
        </is>
      </c>
      <c r="J60" s="8" t="inlineStr">
        <is>
          <t>20 кг/м²</t>
        </is>
      </c>
      <c r="K60" s="8" t="inlineStr"/>
      <c r="L60" s="8" t="inlineStr">
        <is>
          <t>https://osnovit.ru/catalog/osnovit-pro/styazhka-armirovannaya-osnovit-pro/</t>
        </is>
      </c>
    </row>
    <row r="61">
      <c r="A61" s="8" t="inlineStr">
        <is>
          <t>Основит</t>
        </is>
      </c>
      <c r="B61" s="8" t="inlineStr">
        <is>
          <t>product</t>
        </is>
      </c>
      <c r="C61" s="8" t="inlineStr">
        <is>
          <t>Штукатурка гипсовая универсальная белая Основит PRO 30 кг</t>
        </is>
      </c>
      <c r="D61" s="8" t="inlineStr">
        <is>
          <t>Основит PRO Штукатурка гипсовая универсальная</t>
        </is>
      </c>
      <c r="E61" s="8" t="inlineStr">
        <is>
          <t>белая, 30 кг</t>
        </is>
      </c>
      <c r="F61" s="8" t="inlineStr">
        <is>
          <t>plaster_gypsum</t>
        </is>
      </c>
      <c r="G61" s="8" t="inlineStr">
        <is>
          <t>yes</t>
        </is>
      </c>
      <c r="H61" s="8" t="inlineStr">
        <is>
          <t>Гипсовая штукатурка ОСНОВИТ PRO предназначена для выравнивания стен и потолков в помещениях с нормальной влажностью.</t>
        </is>
      </c>
      <c r="I61" s="8" t="inlineStr">
        <is>
          <t>30 кг</t>
        </is>
      </c>
      <c r="J61" s="8" t="inlineStr">
        <is>
          <t>9-10 кг/м²</t>
        </is>
      </c>
      <c r="K61" s="8" t="inlineStr"/>
      <c r="L61" s="8" t="inlineStr">
        <is>
          <t>https://osnovit.ru/catalog/osnovit-pro/shtukaturka-gipsovaya-uni-pro/</t>
        </is>
      </c>
    </row>
    <row r="62">
      <c r="A62" s="8" t="inlineStr">
        <is>
          <t>Основит</t>
        </is>
      </c>
      <c r="B62" s="8" t="inlineStr">
        <is>
          <t>product</t>
        </is>
      </c>
      <c r="C62" s="8" t="inlineStr">
        <is>
          <t>Штукатурка цементная Основит PRO</t>
        </is>
      </c>
      <c r="D62" s="8" t="inlineStr">
        <is>
          <t>Основит PRO Штукатурка цементная</t>
        </is>
      </c>
      <c r="E62" s="8" t="inlineStr"/>
      <c r="F62" s="8" t="inlineStr">
        <is>
          <t>plaster_cement</t>
        </is>
      </c>
      <c r="G62" s="8" t="inlineStr">
        <is>
          <t>yes</t>
        </is>
      </c>
      <c r="H62" s="8" t="inlineStr">
        <is>
          <t>Штукатурка Фасадная ОСНОВИТ PRO предназначена для выравнивания стен из кирпича, бетона и ячеистого бетона.</t>
        </is>
      </c>
      <c r="I62" s="8" t="inlineStr">
        <is>
          <t>25 кг</t>
        </is>
      </c>
      <c r="J62" s="8" t="inlineStr">
        <is>
          <t>16-17 кг/м²</t>
        </is>
      </c>
      <c r="K62" s="8" t="inlineStr"/>
      <c r="L62" s="8" t="inlineStr">
        <is>
          <t>https://osnovit.ru/catalog/osnovit-pro/shtukaturka-fasadnaya-pro/</t>
        </is>
      </c>
    </row>
    <row r="63">
      <c r="A63" s="8" t="inlineStr">
        <is>
          <t>Основит</t>
        </is>
      </c>
      <c r="B63" s="8" t="inlineStr">
        <is>
          <t>product</t>
        </is>
      </c>
      <c r="C63" s="8" t="inlineStr">
        <is>
          <t>Затирка эпоксидная Основит PRO 1 кг</t>
        </is>
      </c>
      <c r="D63" s="8" t="inlineStr">
        <is>
          <t>Основит PRO затирка эпоксидная</t>
        </is>
      </c>
      <c r="E63" s="8" t="inlineStr">
        <is>
          <t>1 кг</t>
        </is>
      </c>
      <c r="F63" s="8" t="inlineStr">
        <is>
          <t>tile_grout_epoxy</t>
        </is>
      </c>
      <c r="G63" s="8" t="inlineStr">
        <is>
          <t>no</t>
        </is>
      </c>
      <c r="H63" s="8" t="inlineStr">
        <is>
          <t>Эпоксидная затирка ОСНОВИТ PRO предназначена для заполнения и защиты межплиточных швов шириной до 15 мм на полах и стенах в жилых, общественных и производственных помещениях, медицинских учреждениях и помещениях с высокой проходимостью.</t>
        </is>
      </c>
      <c r="I63" s="8" t="inlineStr">
        <is>
          <t>1 кг</t>
        </is>
      </c>
      <c r="J63" s="8" t="inlineStr"/>
      <c r="K63" s="8" t="inlineStr"/>
      <c r="L63" s="8" t="inlineStr">
        <is>
          <t>https://osnovit.ru/catalog/epoksidnye-zatirki-i-materialy-dlya-ochistki-/epoksidnaya-zatirka-osnovit-pro/</t>
        </is>
      </c>
    </row>
    <row r="64">
      <c r="A64" s="8" t="inlineStr">
        <is>
          <t>Основит</t>
        </is>
      </c>
      <c r="B64" s="8" t="inlineStr">
        <is>
          <t>product</t>
        </is>
      </c>
      <c r="C64" s="8" t="inlineStr">
        <is>
          <t>Клей гипсовый монтажный Основит PRO 20 кг</t>
        </is>
      </c>
      <c r="D64" s="8" t="inlineStr">
        <is>
          <t>Основит PRO клей гипсовый монтажный</t>
        </is>
      </c>
      <c r="E64" s="8" t="inlineStr"/>
      <c r="F64" s="8" t="inlineStr">
        <is>
          <t>gypsum_mounting_adhesive</t>
        </is>
      </c>
      <c r="G64" s="8" t="inlineStr">
        <is>
          <t>yes</t>
        </is>
      </c>
      <c r="H64" s="8" t="inlineStr">
        <is>
          <t>Клей монтажный гипсовый ОСНОВИТ PRO Предназначен для монтажа перегородок из пазогребневых плит, ремонта пазогребневых плит, крепления гипсовых элементов декора и отделки, для бескаркасного монтажа гипсокартонных и гипсоволокнистых листов (ГКЛ и ГВЛ), приклеивания теплоизоляционных материалов.</t>
        </is>
      </c>
      <c r="I64" s="8" t="inlineStr">
        <is>
          <t>Вес упаковки
20 кг</t>
        </is>
      </c>
      <c r="J64" s="8" t="inlineStr">
        <is>
          <t>Расход сухой смеси при монтаже ПГП на 1 м2
1,5-2 кг</t>
        </is>
      </c>
      <c r="K64" s="8" t="inlineStr"/>
      <c r="L64" s="8" t="inlineStr">
        <is>
          <t>https://osnovit.ru/catalog/osnovit-pro/kley-montazhnyy-gipsovyy-osnovit-pro/</t>
        </is>
      </c>
    </row>
    <row r="65">
      <c r="A65" s="8" t="inlineStr">
        <is>
          <t>Основит</t>
        </is>
      </c>
      <c r="B65" s="8" t="inlineStr">
        <is>
          <t>product</t>
        </is>
      </c>
      <c r="C65" s="8" t="inlineStr">
        <is>
          <t>Плиточный клей усиленный Основит PRO</t>
        </is>
      </c>
      <c r="D65" s="8" t="inlineStr">
        <is>
          <t>Основит PRO плиточный клей усиленный</t>
        </is>
      </c>
      <c r="E65" s="8" t="inlineStr"/>
      <c r="F65" s="8" t="inlineStr">
        <is>
          <t>tile_adhesive</t>
        </is>
      </c>
      <c r="G65" s="8" t="inlineStr">
        <is>
          <t>yes</t>
        </is>
      </c>
      <c r="H65" s="8" t="inlineStr">
        <is>
          <t>Плиточный клей усиленный ОСНОВИТ PRO предназначен для облицовки стен и полов керамической плиткой, керамогранитом, натуральным и искусственным камнем (вес до 600 г/100 см²).</t>
        </is>
      </c>
      <c r="I65" s="8" t="inlineStr">
        <is>
          <t>25 кг</t>
        </is>
      </c>
      <c r="J65" s="8" t="inlineStr">
        <is>
          <t>1,3-1,5 кг/м²</t>
        </is>
      </c>
      <c r="K65" s="8" t="inlineStr"/>
      <c r="L65" s="8" t="inlineStr">
        <is>
          <t>https://osnovit.ru/catalog/plitochnye-klei/plitochnyy-kley-usilennyy-pro/</t>
        </is>
      </c>
    </row>
    <row r="66">
      <c r="A66" s="8" t="inlineStr">
        <is>
          <t>Основит</t>
        </is>
      </c>
      <c r="B66" s="8" t="inlineStr">
        <is>
          <t>product</t>
        </is>
      </c>
      <c r="C66" s="8" t="inlineStr">
        <is>
          <t>Эмаль по дереву Univita Studio Аlbero EAс811 СМ3</t>
        </is>
      </c>
      <c r="D66" s="8" t="inlineStr">
        <is>
          <t>Основит Univita Studio Albero EAс811</t>
        </is>
      </c>
      <c r="E66" s="8" t="inlineStr">
        <is>
          <t>база А / база С; 0,9 л / 2,7 л</t>
        </is>
      </c>
      <c r="F66" s="8" t="inlineStr">
        <is>
          <t>paint</t>
        </is>
      </c>
      <c r="G66" s="8" t="inlineStr">
        <is>
          <t>no</t>
        </is>
      </c>
      <c r="H66" s="8" t="inlineStr">
        <is>
          <t>Рекомендуется для нанесения по деревянным основаниям, деревосодержащим основаниям, древесностружечным и древесноволокнистым плитам, а также по бетонным, кирпичным, оштукатуренным, зашпатлеванным поверхностям, гипсокартону, обоям и поверхностям, ранее окрашенным водно-дисперсионными красками и алкидными эмалями</t>
        </is>
      </c>
      <c r="I66" s="8" t="inlineStr">
        <is>
          <t>0,9 л/2,7 л</t>
        </is>
      </c>
      <c r="J66" s="8" t="inlineStr">
        <is>
          <t>10–14 м 2 /1 л</t>
        </is>
      </c>
      <c r="K66" s="8" t="inlineStr">
        <is>
          <t>Новинка</t>
        </is>
      </c>
      <c r="L66" s="8" t="inlineStr">
        <is>
          <t>https://osnovit.ru/catalog/emali/emal-po-derevu-univita-studio-albero-eas811-sm3/</t>
        </is>
      </c>
    </row>
    <row r="67">
      <c r="A67" s="8" t="inlineStr">
        <is>
          <t>Основит</t>
        </is>
      </c>
      <c r="B67" s="8" t="inlineStr">
        <is>
          <t>product</t>
        </is>
      </c>
      <c r="C67" s="8" t="inlineStr">
        <is>
          <t>Краска интерьерная матовая Основит Univita Studio Lusso I</t>
        </is>
      </c>
      <c r="D67" s="8" t="inlineStr">
        <is>
          <t>Основит Univita Studio Lusso I</t>
        </is>
      </c>
      <c r="E67" s="8" t="inlineStr"/>
      <c r="F67" s="8" t="inlineStr">
        <is>
          <t>paint</t>
        </is>
      </c>
      <c r="G67" s="8" t="inlineStr">
        <is>
          <t>no</t>
        </is>
      </c>
      <c r="H67" s="8" t="inlineStr">
        <is>
          <t>Предназначена для окрашивания стен и потолков в помещениях с нормальной и повышенной влажностью.</t>
        </is>
      </c>
      <c r="I67" s="8" t="inlineStr">
        <is>
          <t>0,9 л/2,7 л/9 л</t>
        </is>
      </c>
      <c r="J67" s="8" t="inlineStr">
        <is>
          <t>10–14 м 2 /1 л</t>
        </is>
      </c>
      <c r="K67" s="8" t="inlineStr">
        <is>
          <t>Колеровка</t>
        </is>
      </c>
      <c r="L67" s="8" t="inlineStr">
        <is>
          <t>https://osnovit.ru/catalog/kraski/interernaya-kraska-matovaya-moyushchayasya-ekstraprochnaya-dlya-sten-i-potolkov-osnovit-univita-stud/</t>
        </is>
      </c>
    </row>
    <row r="68">
      <c r="A68" s="8" t="inlineStr">
        <is>
          <t>Основит</t>
        </is>
      </c>
      <c r="B68" s="8" t="inlineStr">
        <is>
          <t>product</t>
        </is>
      </c>
      <c r="C68" s="8" t="inlineStr">
        <is>
          <t>Краска интерьерная глубокоматовая Основит Univita Studio Lusso II</t>
        </is>
      </c>
      <c r="D68" s="8" t="inlineStr">
        <is>
          <t>Основит Univita Studio Lusso II</t>
        </is>
      </c>
      <c r="E68" s="8" t="inlineStr"/>
      <c r="F68" s="8" t="inlineStr">
        <is>
          <t>paint</t>
        </is>
      </c>
      <c r="G68" s="8" t="inlineStr">
        <is>
          <t>no</t>
        </is>
      </c>
      <c r="H68" s="8" t="inlineStr">
        <is>
          <t>Предназначена для окрашивания стен и потолков в помещениях с нормальной и повышенной влажностью.</t>
        </is>
      </c>
      <c r="I68" s="8" t="inlineStr">
        <is>
          <t>0,9 л/2,7 л/9 л</t>
        </is>
      </c>
      <c r="J68" s="8" t="inlineStr">
        <is>
          <t>9–12 м 2 /1 л</t>
        </is>
      </c>
      <c r="K68" s="8" t="inlineStr">
        <is>
          <t>Колеровка</t>
        </is>
      </c>
      <c r="L68" s="8" t="inlineStr">
        <is>
          <t>https://osnovit.ru/catalog/kraski/interernaya-kraska-glubokomatovaya-moyushchayasya-dlya-sten-i-potolkov-osnovit-univita-studio-lusso-/</t>
        </is>
      </c>
    </row>
    <row r="69">
      <c r="A69" s="8" t="inlineStr">
        <is>
          <t>Основит</t>
        </is>
      </c>
      <c r="B69" s="8" t="inlineStr">
        <is>
          <t>product</t>
        </is>
      </c>
      <c r="C69" s="8" t="inlineStr">
        <is>
          <t>Краска интерьерная глубокоматовая Основит Univita Studio Lusso III</t>
        </is>
      </c>
      <c r="D69" s="8" t="inlineStr">
        <is>
          <t>Основит Univita Studio Lusso III</t>
        </is>
      </c>
      <c r="E69" s="8" t="inlineStr"/>
      <c r="F69" s="8" t="inlineStr">
        <is>
          <t>paint</t>
        </is>
      </c>
      <c r="G69" s="8" t="inlineStr">
        <is>
          <t>no</t>
        </is>
      </c>
      <c r="H69" s="8" t="inlineStr">
        <is>
          <t>Предназначена для окрашивания стен и потолков в помещениях с нормальной и повышенной влажностью.</t>
        </is>
      </c>
      <c r="I69" s="8" t="inlineStr">
        <is>
          <t>0,9 л/2,7 л/9 л</t>
        </is>
      </c>
      <c r="J69" s="8" t="inlineStr">
        <is>
          <t>8–11 м 2 /1 л</t>
        </is>
      </c>
      <c r="K69" s="8" t="inlineStr">
        <is>
          <t>Колеровка</t>
        </is>
      </c>
      <c r="L69" s="8" t="inlineStr">
        <is>
          <t>https://osnovit.ru/catalog/kraski/osnovit-univita-studio-lusso-iii-sas993-cm2/</t>
        </is>
      </c>
    </row>
    <row r="70">
      <c r="A70" s="8" t="inlineStr">
        <is>
          <t>Основит</t>
        </is>
      </c>
      <c r="B70" s="8" t="inlineStr">
        <is>
          <t>product</t>
        </is>
      </c>
      <c r="C70" s="8" t="inlineStr">
        <is>
          <t>Эмаль по металлу Univita Studio Metallo EAс821 ПМ20</t>
        </is>
      </c>
      <c r="D70" s="8" t="inlineStr">
        <is>
          <t>Основит Univita Studio Metallo EAс821</t>
        </is>
      </c>
      <c r="E70" s="8" t="inlineStr">
        <is>
          <t>база А / база С; 0,9 л / 2,7 л</t>
        </is>
      </c>
      <c r="F70" s="8" t="inlineStr">
        <is>
          <t>paint</t>
        </is>
      </c>
      <c r="G70" s="8" t="inlineStr">
        <is>
          <t>no</t>
        </is>
      </c>
      <c r="H70" s="8" t="inlineStr">
        <is>
          <t>Эмаль ПО МЕТАЛЛУ: ОСНОВИТ UNIVITA Studio Metallo EAс821 ПМ20 акриловая полуматовая предназначена для создания гладкого декоративно-защитного покрытия на металлических основаниях.</t>
        </is>
      </c>
      <c r="I70" s="8" t="inlineStr">
        <is>
          <t>0,9 л/2,7 л</t>
        </is>
      </c>
      <c r="J70" s="8" t="inlineStr">
        <is>
          <t>10–14 м 2 /1 л</t>
        </is>
      </c>
      <c r="K70" s="8" t="inlineStr">
        <is>
          <t>Новинка</t>
        </is>
      </c>
      <c r="L70" s="8" t="inlineStr">
        <is>
          <t>https://osnovit.ru/catalog/emali/emal-po-metallu-univita-studio-metallo-eas821-pm20/</t>
        </is>
      </c>
    </row>
    <row r="71">
      <c r="A71" s="8" t="inlineStr">
        <is>
          <t>Основит</t>
        </is>
      </c>
      <c r="B71" s="8" t="inlineStr">
        <is>
          <t>product</t>
        </is>
      </c>
      <c r="C71" s="8" t="inlineStr">
        <is>
          <t>Эмаль для окон и дверей Univita Studio Porta EAс831 ПМ20</t>
        </is>
      </c>
      <c r="D71" s="8" t="inlineStr">
        <is>
          <t>Основит Univita Studio Porta EAс831</t>
        </is>
      </c>
      <c r="E71" s="8" t="inlineStr">
        <is>
          <t>база А / база С; 0,9 л / 2,7 л</t>
        </is>
      </c>
      <c r="F71" s="8" t="inlineStr">
        <is>
          <t>paint</t>
        </is>
      </c>
      <c r="G71" s="8" t="inlineStr">
        <is>
          <t>no</t>
        </is>
      </c>
      <c r="H71" s="8" t="inlineStr">
        <is>
          <t>Эмаль ДЛЯ ОКОН И ДВЕРЕЙ: ОСНОВИТ UNIVITA Studio Porta EAс831 ПМ20 акриловая полуматовая предназначена для создания гладкого декоративно-защитного покрытия на оконных блоках, подоконниках, дверях, любых изделиях и конструкциях из дерева и дерево содержащих основаниях.</t>
        </is>
      </c>
      <c r="I71" s="8" t="inlineStr">
        <is>
          <t>0,9 л/2,7 л</t>
        </is>
      </c>
      <c r="J71" s="8" t="inlineStr">
        <is>
          <t>10–14 м 2 /1 л</t>
        </is>
      </c>
      <c r="K71" s="8" t="inlineStr">
        <is>
          <t>Новинка</t>
        </is>
      </c>
      <c r="L71" s="8" t="inlineStr">
        <is>
          <t>https://osnovit.ru/catalog/emali/emal-dlya-okon-i-dverey-univita-studio-porta-eas831-pm20/</t>
        </is>
      </c>
    </row>
    <row r="72">
      <c r="A72" s="8" t="inlineStr">
        <is>
          <t>Основит</t>
        </is>
      </c>
      <c r="B72" s="8" t="inlineStr">
        <is>
          <t>product</t>
        </is>
      </c>
      <c r="C72" s="8" t="inlineStr">
        <is>
          <t>Краска интерьерная полуматовая Основит Univita Studio Prime I</t>
        </is>
      </c>
      <c r="D72" s="8" t="inlineStr">
        <is>
          <t>Основит Univita Studio Prime I</t>
        </is>
      </c>
      <c r="E72" s="8" t="inlineStr"/>
      <c r="F72" s="8" t="inlineStr">
        <is>
          <t>paint</t>
        </is>
      </c>
      <c r="G72" s="8" t="inlineStr">
        <is>
          <t>no</t>
        </is>
      </c>
      <c r="H72" s="8" t="inlineStr">
        <is>
          <t>Предназначена для окрашивания стен и потолков в помещениях с нормальной и повышенной влажностью.</t>
        </is>
      </c>
      <c r="I72" s="8" t="inlineStr">
        <is>
          <t>0,9 л/2,7 л/9 л</t>
        </is>
      </c>
      <c r="J72" s="8" t="inlineStr">
        <is>
          <t>10–14 м 2 /1 л</t>
        </is>
      </c>
      <c r="K72" s="8" t="inlineStr">
        <is>
          <t>Колеровка</t>
        </is>
      </c>
      <c r="L72" s="8" t="inlineStr">
        <is>
          <t>https://osnovit.ru/catalog/kraski/interernaya-kraska-polumatovaya-moyushchayasya-dlya-sten-i-potolkov-osnovit-univita-studio-prime-i-s/</t>
        </is>
      </c>
    </row>
    <row r="73">
      <c r="A73" s="8" t="inlineStr">
        <is>
          <t>Основит</t>
        </is>
      </c>
      <c r="B73" s="8" t="inlineStr">
        <is>
          <t>product</t>
        </is>
      </c>
      <c r="C73" s="8" t="inlineStr">
        <is>
          <t>Грунт интерьерный Основит Univita Studio Primer 10 л</t>
        </is>
      </c>
      <c r="D73" s="8" t="inlineStr">
        <is>
          <t>Основит Univita Studio Primer</t>
        </is>
      </c>
      <c r="E73" s="8" t="inlineStr">
        <is>
          <t>10 л</t>
        </is>
      </c>
      <c r="F73" s="8" t="inlineStr">
        <is>
          <t>primer</t>
        </is>
      </c>
      <c r="G73" s="8" t="inlineStr">
        <is>
          <t>no</t>
        </is>
      </c>
      <c r="H73" s="8" t="inlineStr">
        <is>
          <t>Интерьерная грунтовка глубокого проникновения Основит Univita Studio PRIMER предназначена для грунтования минеральных поверхностей перед финишной окраской водно-дисперсионными красками в помещениях любого типа.</t>
        </is>
      </c>
      <c r="I73" s="8" t="inlineStr">
        <is>
          <t>10 л</t>
        </is>
      </c>
      <c r="J73" s="8" t="inlineStr">
        <is>
          <t>4–10 м 2 /л</t>
        </is>
      </c>
      <c r="K73" s="8" t="inlineStr"/>
      <c r="L73" s="8" t="inlineStr">
        <is>
          <t>https://osnovit.ru/catalog/kraski/grunt-interernyy-osnovit-univita-studio-primer/</t>
        </is>
      </c>
    </row>
    <row r="74">
      <c r="A74" s="8" t="inlineStr">
        <is>
          <t>Основит</t>
        </is>
      </c>
      <c r="B74" s="8" t="inlineStr">
        <is>
          <t>product</t>
        </is>
      </c>
      <c r="C74" s="8" t="inlineStr">
        <is>
          <t>Эмаль для радиаторов отопления Univita Studio Termo EAс841 ПМ20</t>
        </is>
      </c>
      <c r="D74" s="8" t="inlineStr">
        <is>
          <t>Основит Univita Studio Termo EAс841</t>
        </is>
      </c>
      <c r="E74" s="8" t="inlineStr">
        <is>
          <t>база А / база С; 0,9 л / 2,7 л</t>
        </is>
      </c>
      <c r="F74" s="8" t="inlineStr">
        <is>
          <t>paint</t>
        </is>
      </c>
      <c r="G74" s="8" t="inlineStr">
        <is>
          <t>no</t>
        </is>
      </c>
      <c r="H74" s="8" t="inlineStr">
        <is>
          <t>Эмаль ПО МЕТАЛЛУ: ОСНОВИТ UNIVITA Studio Termo EAс841 ПМ20 акриловая полуматовая предназначена для окрашивания радиаторов и систем отопления.</t>
        </is>
      </c>
      <c r="I74" s="8" t="inlineStr">
        <is>
          <t>0,9 л/2,7 л</t>
        </is>
      </c>
      <c r="J74" s="8" t="inlineStr">
        <is>
          <t>10–14 м 2 /1 л</t>
        </is>
      </c>
      <c r="K74" s="8" t="inlineStr">
        <is>
          <t>Новинка</t>
        </is>
      </c>
      <c r="L74" s="8" t="inlineStr">
        <is>
          <t>https://osnovit.ru/catalog/emali/emal-dlya-radiatorov-otopleniya-univita-studio-termo-eas841-pm20/</t>
        </is>
      </c>
    </row>
    <row r="75">
      <c r="A75" s="8" t="inlineStr">
        <is>
          <t>Основит</t>
        </is>
      </c>
      <c r="B75" s="8" t="inlineStr">
        <is>
          <t>product</t>
        </is>
      </c>
      <c r="C75" s="8" t="inlineStr">
        <is>
          <t>Гидроизоляция эластичная готовая Основит Акваскрин HA64</t>
        </is>
      </c>
      <c r="D75" s="8" t="inlineStr">
        <is>
          <t>Основит Акваскрин HA64</t>
        </is>
      </c>
      <c r="E75" s="8" t="inlineStr"/>
      <c r="F75" s="8" t="inlineStr">
        <is>
          <t>waterproofing_liquid</t>
        </is>
      </c>
      <c r="G75" s="8" t="inlineStr">
        <is>
          <t>no</t>
        </is>
      </c>
      <c r="H75" s="8" t="inlineStr">
        <is>
          <t>предназначена для создания гидроизоляционного барьера на горизонтальных и вертикальных поверхностях с периодическим увлажнением в помещениях с любым уровнем влажности под последующую укладку керамической и клинкерной плитки, керамогранита, натурального и искусственного камня.</t>
        </is>
      </c>
      <c r="I75" s="8" t="inlineStr">
        <is>
          <t>4,5 кг, 15 кг</t>
        </is>
      </c>
      <c r="J75" s="8" t="inlineStr">
        <is>
          <t>0,35-0,5 кг</t>
        </is>
      </c>
      <c r="K75" s="8" t="inlineStr"/>
      <c r="L75" s="8" t="inlineStr">
        <is>
          <t>https://osnovit.ru/catalog/gidroizolyatsiya/gidroizolyatsiya-gotovaya-elastichnaya-osnovit-khardskrin-hac64-/</t>
        </is>
      </c>
    </row>
    <row r="76">
      <c r="A76" s="8" t="inlineStr">
        <is>
          <t>Основит</t>
        </is>
      </c>
      <c r="B76" s="8" t="inlineStr">
        <is>
          <t>product</t>
        </is>
      </c>
      <c r="C76" s="8" t="inlineStr">
        <is>
          <t>Лента гидроизоляционная армированная сеткой в коробе Основит Акваскрин HB70</t>
        </is>
      </c>
      <c r="D76" s="8" t="inlineStr">
        <is>
          <t>Основит Акваскрин HB70</t>
        </is>
      </c>
      <c r="E76" s="8" t="inlineStr"/>
      <c r="F76" s="8" t="inlineStr">
        <is>
          <t>other</t>
        </is>
      </c>
      <c r="G76" s="8" t="inlineStr">
        <is>
          <t>no</t>
        </is>
      </c>
      <c r="H76" s="8" t="inlineStr">
        <is>
          <t>Применяется для гидроизоляции внутренних и внешних углов, мест сопряжений «пол-стена», деформационных швов, выводов труб, сливных отверстий во влажных помещениях и сооружениях: санузлах, душевых, балконах, террасах, производственных помещениях и т.д.</t>
        </is>
      </c>
      <c r="I76" s="8" t="inlineStr"/>
      <c r="J76" s="8" t="inlineStr"/>
      <c r="K76" s="8" t="inlineStr">
        <is>
          <t>Новинка</t>
        </is>
      </c>
      <c r="L76" s="8" t="inlineStr">
        <is>
          <t>https://osnovit.ru/catalog/gidroizolyatsiya/gidroizolyatsionnaya-lenta-armirovannaya-setkoy-v-korobe-osnovit-akvaskrin-hb70-10-m/</t>
        </is>
      </c>
    </row>
    <row r="77">
      <c r="A77" s="8" t="inlineStr">
        <is>
          <t>Основит</t>
        </is>
      </c>
      <c r="B77" s="8" t="inlineStr">
        <is>
          <t>product</t>
        </is>
      </c>
      <c r="C77" s="8" t="inlineStr">
        <is>
          <t>Гидропломба Основит Акваскрин HC61 500 г</t>
        </is>
      </c>
      <c r="D77" s="8" t="inlineStr">
        <is>
          <t>Основит Акваскрин HC61</t>
        </is>
      </c>
      <c r="E77" s="8" t="inlineStr">
        <is>
          <t>500 г</t>
        </is>
      </c>
      <c r="F77" s="8" t="inlineStr">
        <is>
          <t>hydroplug</t>
        </is>
      </c>
      <c r="G77" s="8" t="inlineStr">
        <is>
          <t>yes</t>
        </is>
      </c>
      <c r="H77" s="8" t="inlineStr">
        <is>
          <t>предназначена для остановки протечек воды через трещины, щели, отверстия, швы в бетонных конструкциях, кирпичной кладке, цементной штукатурке или стяжке.</t>
        </is>
      </c>
      <c r="I77" s="8" t="inlineStr">
        <is>
          <t>500 г</t>
        </is>
      </c>
      <c r="J77" s="8" t="inlineStr"/>
      <c r="K77" s="8" t="inlineStr"/>
      <c r="L77" s="8" t="inlineStr">
        <is>
          <t>https://osnovit.ru/catalog/gidroizolyatsiya/akvaskrin-t-61/</t>
        </is>
      </c>
    </row>
    <row r="78">
      <c r="A78" s="8" t="inlineStr">
        <is>
          <t>Основит</t>
        </is>
      </c>
      <c r="B78" s="8" t="inlineStr">
        <is>
          <t>product</t>
        </is>
      </c>
      <c r="C78" s="8" t="inlineStr">
        <is>
          <t>Гидроизоляция эластичная однокомпонентная Основит Акваскрин HC62 E1K 20 кг</t>
        </is>
      </c>
      <c r="D78" s="8" t="inlineStr">
        <is>
          <t>Основит Акваскрин HC62 E1K</t>
        </is>
      </c>
      <c r="E78" s="8" t="inlineStr">
        <is>
          <t>20 кг</t>
        </is>
      </c>
      <c r="F78" s="8" t="inlineStr">
        <is>
          <t>waterproofing_dry</t>
        </is>
      </c>
      <c r="G78" s="8" t="inlineStr">
        <is>
          <t>yes</t>
        </is>
      </c>
      <c r="H78" s="8" t="inlineStr">
        <is>
          <t>предназначена для устройства эластичных гидроизоляционных покрытий на минеральных основаниях, подвергающихся в процессе эксплуатации незначительным деформациям.</t>
        </is>
      </c>
      <c r="I78" s="8" t="inlineStr">
        <is>
          <t>20 кг</t>
        </is>
      </c>
      <c r="J78" s="8" t="inlineStr">
        <is>
          <t>1,3-1,5 кг/м²</t>
        </is>
      </c>
      <c r="K78" s="8" t="inlineStr"/>
      <c r="L78" s="8" t="inlineStr">
        <is>
          <t>https://osnovit.ru/catalog/gidroizolyatsiya/akvaskrin-hc62-e1k-gidroizolyatsiya-elastichnaya-odnokomponentnaya-osnovit-/</t>
        </is>
      </c>
    </row>
    <row r="79">
      <c r="A79" s="8" t="inlineStr">
        <is>
          <t>Основит</t>
        </is>
      </c>
      <c r="B79" s="8" t="inlineStr">
        <is>
          <t>product</t>
        </is>
      </c>
      <c r="C79" s="8" t="inlineStr">
        <is>
          <t>Гидроизоляция жесткая Основит Акваскрин HC63 20 кг</t>
        </is>
      </c>
      <c r="D79" s="8" t="inlineStr">
        <is>
          <t>Основит Акваскрин HC63</t>
        </is>
      </c>
      <c r="E79" s="8" t="inlineStr">
        <is>
          <t>20 кг</t>
        </is>
      </c>
      <c r="F79" s="8" t="inlineStr">
        <is>
          <t>waterproofing_dry</t>
        </is>
      </c>
      <c r="G79" s="8" t="inlineStr">
        <is>
          <t>yes</t>
        </is>
      </c>
      <c r="H79" s="8" t="inlineStr">
        <is>
          <t>предназначена для гидроизоляции фундаментов зданий, фасадов, цоколей, подвалов, балконов, террас, стен и полов во влажных помещениях.</t>
        </is>
      </c>
      <c r="I79" s="8" t="inlineStr">
        <is>
          <t>20 кг</t>
        </is>
      </c>
      <c r="J79" s="8" t="inlineStr">
        <is>
          <t>4,5 кг/м²</t>
        </is>
      </c>
      <c r="K79" s="8" t="inlineStr"/>
      <c r="L79" s="8" t="inlineStr">
        <is>
          <t>https://osnovit.ru/catalog/gidroizolyatsiya/akvaskrin-ns63-zhestkaya-gidroizolyatsiya-osnovit-/</t>
        </is>
      </c>
    </row>
    <row r="80">
      <c r="A80" s="8" t="inlineStr">
        <is>
          <t>Основит</t>
        </is>
      </c>
      <c r="B80" s="8" t="inlineStr">
        <is>
          <t>product</t>
        </is>
      </c>
      <c r="C80" s="8" t="inlineStr">
        <is>
          <t>Гидроизоляция проникающая водоостанавливающая Основит Акваскрин HC65 20 кг</t>
        </is>
      </c>
      <c r="D80" s="8" t="inlineStr">
        <is>
          <t>Основит Акваскрин HC65</t>
        </is>
      </c>
      <c r="E80" s="8" t="inlineStr">
        <is>
          <t>20 кг</t>
        </is>
      </c>
      <c r="F80" s="8" t="inlineStr">
        <is>
          <t>waterproofing_dry</t>
        </is>
      </c>
      <c r="G80" s="8" t="inlineStr">
        <is>
          <t>yes</t>
        </is>
      </c>
      <c r="H80" s="8" t="inlineStr">
        <is>
          <t>предназначена для гидроизоляции бетонных конструкций изнутри:</t>
        </is>
      </c>
      <c r="I80" s="8" t="inlineStr">
        <is>
          <t>20 кг</t>
        </is>
      </c>
      <c r="J80" s="8" t="inlineStr"/>
      <c r="K80" s="8" t="inlineStr"/>
      <c r="L80" s="8" t="inlineStr">
        <is>
          <t>https://osnovit.ru/catalog/gidroizolyatsiya/akvaskrin-hc65-vodoostonavlivayushchaya-gidroizolyatsiya-pronikayushchaya-osnovit/</t>
        </is>
      </c>
    </row>
    <row r="81">
      <c r="A81" s="8" t="inlineStr">
        <is>
          <t>Основит</t>
        </is>
      </c>
      <c r="B81" s="8" t="inlineStr">
        <is>
          <t>product</t>
        </is>
      </c>
      <c r="C81" s="8" t="inlineStr">
        <is>
          <t>Состав гидроизоляционный шовный с проникающим эффектом Основит Акваскрин HC66 4 кг</t>
        </is>
      </c>
      <c r="D81" s="8" t="inlineStr">
        <is>
          <t>Основит Акваскрин HC66</t>
        </is>
      </c>
      <c r="E81" s="8" t="inlineStr">
        <is>
          <t>4 кг</t>
        </is>
      </c>
      <c r="F81" s="8" t="inlineStr">
        <is>
          <t>waterproofing_dry</t>
        </is>
      </c>
      <c r="G81" s="8" t="inlineStr">
        <is>
          <t>yes</t>
        </is>
      </c>
      <c r="H81" s="8" t="inlineStr">
        <is>
          <t>применяется для заделки стабилизированных стыков примыкания и швов в бетонных, железобетонных и каменных конструкциях при отсутствии постоянной активной</t>
        </is>
      </c>
      <c r="I81" s="8" t="inlineStr">
        <is>
          <t>Полиэтиленовые мешки 4кг и 8кг</t>
        </is>
      </c>
      <c r="J81" s="8" t="inlineStr"/>
      <c r="K81" s="8" t="inlineStr"/>
      <c r="L81" s="8" t="inlineStr">
        <is>
          <t>https://osnovit.ru/catalog/gidroizolyatsiya/akvaskrin-hc66-shovnyy-gidroizolyatsionnyy-sostav-s-pronikayushchim-effektom-osnovit/</t>
        </is>
      </c>
    </row>
    <row r="82">
      <c r="A82" s="8" t="inlineStr">
        <is>
          <t>Основит</t>
        </is>
      </c>
      <c r="B82" s="8" t="inlineStr">
        <is>
          <t>product</t>
        </is>
      </c>
      <c r="C82" s="8" t="inlineStr">
        <is>
          <t>Клей плиточный Основит Базпликс AC10 [C0T] 25 кг</t>
        </is>
      </c>
      <c r="D82" s="8" t="inlineStr">
        <is>
          <t>Основит Базпликс AC10</t>
        </is>
      </c>
      <c r="E82" s="8" t="inlineStr"/>
      <c r="F82" s="8" t="inlineStr">
        <is>
          <t>tile_adhesive</t>
        </is>
      </c>
      <c r="G82" s="8" t="inlineStr">
        <is>
          <t>yes</t>
        </is>
      </c>
      <c r="H82" s="8" t="inlineStr">
        <is>
          <t>Плиточный клей Основит Базпликс AC10 предназначен для облицовки стен и пола керамической плиткой.</t>
        </is>
      </c>
      <c r="I82" s="8" t="inlineStr">
        <is>
          <t>25 кг</t>
        </is>
      </c>
      <c r="J82" s="8" t="inlineStr">
        <is>
          <t>1,3-1,5 кг/м 2</t>
        </is>
      </c>
      <c r="K82" s="8" t="inlineStr"/>
      <c r="L82" s="8" t="inlineStr">
        <is>
          <t>https://osnovit.ru/catalog/plitochnye-klei/bazpliks-as10-kley-standart-dlya-keramicheskoy-plitki-osnovit/</t>
        </is>
      </c>
    </row>
    <row r="83">
      <c r="A83" s="8" t="inlineStr">
        <is>
          <t>Основит</t>
        </is>
      </c>
      <c r="B83" s="8" t="inlineStr">
        <is>
          <t>product</t>
        </is>
      </c>
      <c r="C83" s="8" t="inlineStr">
        <is>
          <t>Шпаклевка цементная фасадная универсальная белая Основит Базсилк PC30 MW 20 кг</t>
        </is>
      </c>
      <c r="D83" s="8" t="inlineStr">
        <is>
          <t>Основит Базсилк PC30</t>
        </is>
      </c>
      <c r="E83" s="8" t="inlineStr">
        <is>
          <t>белая (MW)</t>
        </is>
      </c>
      <c r="F83" s="8" t="inlineStr">
        <is>
          <t>putty_cement</t>
        </is>
      </c>
      <c r="G83" s="8" t="inlineStr">
        <is>
          <t>yes</t>
        </is>
      </c>
      <c r="H83" s="8" t="inlineStr">
        <is>
          <t>Шпаклевка ОСНОВИТ БАЗСИЛК PC30 MW предназначена для выравнивания стен и потолков в сухих и влажных помещениях, фасадов, цоколей.</t>
        </is>
      </c>
      <c r="I83" s="8" t="inlineStr">
        <is>
          <t>20 кг</t>
        </is>
      </c>
      <c r="J83" s="8" t="inlineStr">
        <is>
          <t>1,2 кг/м²</t>
        </is>
      </c>
      <c r="K83" s="8" t="inlineStr"/>
      <c r="L83" s="8" t="inlineStr">
        <is>
          <t>https://osnovit.ru/catalog/shpaklevki/bazsilk-t-30/</t>
        </is>
      </c>
    </row>
    <row r="84">
      <c r="A84" s="8" t="inlineStr">
        <is>
          <t>Основит</t>
        </is>
      </c>
      <c r="B84" s="8" t="inlineStr">
        <is>
          <t>duplicate_of_other</t>
        </is>
      </c>
      <c r="C84" s="8" t="inlineStr">
        <is>
          <t>ШПАКЛЕВКА ЦЕМЕНТНАЯ ФАСАДНАЯ БЕЛАЯ УНИВЕРСАЛЬНАЯ ОСНОВИТ БАЗСИЛК PC30 MW (Н) ТОЛЩИНА СЛОЯ 1-10 ММ</t>
        </is>
      </c>
      <c r="D84" s="8" t="inlineStr">
        <is>
          <t>Основит Базсилк PC30</t>
        </is>
      </c>
      <c r="E84" s="8" t="inlineStr">
        <is>
          <t>белая (MW), карточка «(Н)»</t>
        </is>
      </c>
      <c r="F84" s="8" t="inlineStr">
        <is>
          <t>putty_cement</t>
        </is>
      </c>
      <c r="G84" s="8" t="inlineStr">
        <is>
          <t>yes</t>
        </is>
      </c>
      <c r="H84" s="8" t="inlineStr">
        <is>
          <t>Шпаклевка ОСНОВИТ БАЗСИЛК PC30 MW предназначена для выравнивания стен и потолков в сухих и влажных помещениях, фасадов, цоколей.</t>
        </is>
      </c>
      <c r="I84" s="8" t="inlineStr">
        <is>
          <t>20 кг</t>
        </is>
      </c>
      <c r="J84" s="8" t="inlineStr">
        <is>
          <t>1 кг/м²</t>
        </is>
      </c>
      <c r="K84" s="8" t="inlineStr"/>
      <c r="L84" s="8" t="inlineStr">
        <is>
          <t>https://osnovit.ru/catalog/shpaklevki-tsementnye/shpaklevka-tsementnaya-fasadnaya-universalnaya-belaya-osnovit-bazsilk-pc30-mw-n-tolshchina-sloya-1-1/</t>
        </is>
      </c>
    </row>
    <row r="85">
      <c r="A85" s="8" t="inlineStr">
        <is>
          <t>Основит</t>
        </is>
      </c>
      <c r="B85" s="8" t="inlineStr">
        <is>
          <t>product</t>
        </is>
      </c>
      <c r="C85" s="8" t="inlineStr">
        <is>
          <t>Шпаклевка цементная фасадная универсальная серая Основит Базсилк PC30 MG 20 кг</t>
        </is>
      </c>
      <c r="D85" s="8" t="inlineStr">
        <is>
          <t>Основит Базсилк PC30</t>
        </is>
      </c>
      <c r="E85" s="8" t="inlineStr">
        <is>
          <t>серая (MG)</t>
        </is>
      </c>
      <c r="F85" s="8" t="inlineStr">
        <is>
          <t>putty_cement</t>
        </is>
      </c>
      <c r="G85" s="8" t="inlineStr">
        <is>
          <t>yes</t>
        </is>
      </c>
      <c r="H85" s="8" t="inlineStr">
        <is>
          <t>предназначена для выравнивания стен и потолков в сухих и влажных помещениях, фасадов, цоколей.</t>
        </is>
      </c>
      <c r="I85" s="8" t="inlineStr">
        <is>
          <t>20 кг</t>
        </is>
      </c>
      <c r="J85" s="8" t="inlineStr">
        <is>
          <t>1,2 кг/м²</t>
        </is>
      </c>
      <c r="K85" s="8" t="inlineStr"/>
      <c r="L85" s="8" t="inlineStr">
        <is>
          <t>https://osnovit.ru/catalog/shpaklevki/bazsilk-pc30-mg/</t>
        </is>
      </c>
    </row>
    <row r="86">
      <c r="A86" s="8" t="inlineStr">
        <is>
          <t>Основит</t>
        </is>
      </c>
      <c r="B86" s="8" t="inlineStr">
        <is>
          <t>product</t>
        </is>
      </c>
      <c r="C86" s="8" t="inlineStr">
        <is>
          <t>Клей плиточный белый Основит Белпликс AC141 W [С1T]</t>
        </is>
      </c>
      <c r="D86" s="8" t="inlineStr">
        <is>
          <t>Основит Белпликс AC141 W</t>
        </is>
      </c>
      <c r="E86" s="8" t="inlineStr"/>
      <c r="F86" s="8" t="inlineStr">
        <is>
          <t>tile_adhesive</t>
        </is>
      </c>
      <c r="G86" s="8" t="inlineStr">
        <is>
          <t>yes</t>
        </is>
      </c>
      <c r="H86" s="8" t="inlineStr">
        <is>
          <t>Белый плиточный клей Основит Белпликс AC141 W предназначен для облицовки стен и пола плитами из мрамора, цветной и прозрачной стеклянной плиткой, декоративной мозаикой, стекло-блоками, гранитом, натуральным и искусственным камнем.</t>
        </is>
      </c>
      <c r="I86" s="8" t="inlineStr">
        <is>
          <t>5 кг, 25 кг</t>
        </is>
      </c>
      <c r="J86" s="8" t="inlineStr">
        <is>
          <t>1,3-1,4 кг/м 2</t>
        </is>
      </c>
      <c r="K86" s="8" t="inlineStr"/>
      <c r="L86" s="8" t="inlineStr">
        <is>
          <t>https://osnovit.ru/catalog/plitochnye-klei/belpliks-ac141-w-s1t-h-kley-plitochnyy-belyy-dlya-keramicheskoy-mozaiki-keramicheskoy-keramogranit/</t>
        </is>
      </c>
    </row>
    <row r="87">
      <c r="A87" s="8" t="inlineStr">
        <is>
          <t>Основит</t>
        </is>
      </c>
      <c r="B87" s="8" t="inlineStr">
        <is>
          <t>product</t>
        </is>
      </c>
      <c r="C87" s="8" t="inlineStr">
        <is>
          <t>Шпаклевка цементная финишная белая Основит Белсилк PC32 W</t>
        </is>
      </c>
      <c r="D87" s="8" t="inlineStr">
        <is>
          <t>Основит Белсилк PC32 W</t>
        </is>
      </c>
      <c r="E87" s="8" t="inlineStr"/>
      <c r="F87" s="8" t="inlineStr">
        <is>
          <t>putty_cement</t>
        </is>
      </c>
      <c r="G87" s="8" t="inlineStr">
        <is>
          <t>yes</t>
        </is>
      </c>
      <c r="H87" s="8" t="inlineStr">
        <is>
          <t>предназначена для финишного выравнивания фасадов зданий, стен и потолков в сухих и влажных помещениях.</t>
        </is>
      </c>
      <c r="I87" s="8" t="inlineStr">
        <is>
          <t>5, 20 кг</t>
        </is>
      </c>
      <c r="J87" s="8" t="inlineStr">
        <is>
          <t>1,2 кг/м²</t>
        </is>
      </c>
      <c r="K87" s="8" t="inlineStr"/>
      <c r="L87" s="8" t="inlineStr">
        <is>
          <t>https://osnovit.ru/catalog/shpaklevki/belsilk-t-32/</t>
        </is>
      </c>
    </row>
    <row r="88">
      <c r="A88" s="8" t="inlineStr">
        <is>
          <t>Основит</t>
        </is>
      </c>
      <c r="B88" s="8" t="inlineStr">
        <is>
          <t>product</t>
        </is>
      </c>
      <c r="C88" s="8" t="inlineStr">
        <is>
          <t>Грунт бетоноконтакт Основит Беттоконт LP55</t>
        </is>
      </c>
      <c r="D88" s="8" t="inlineStr">
        <is>
          <t>Основит Беттоконт LP55</t>
        </is>
      </c>
      <c r="E88" s="8" t="inlineStr"/>
      <c r="F88" s="8" t="inlineStr">
        <is>
          <t>primer</t>
        </is>
      </c>
      <c r="G88" s="8" t="inlineStr">
        <is>
          <t>no</t>
        </is>
      </c>
      <c r="H88" s="8" t="inlineStr">
        <is>
          <t>Грунт ОСНОВИТ БЕТТОКОНТ LP55 предназначен для предварительной обработки плотных, слабовпитывающих влагу гладких оснований.</t>
        </is>
      </c>
      <c r="I88" s="8" t="inlineStr">
        <is>
          <t>20 кг</t>
        </is>
      </c>
      <c r="J88" s="8" t="inlineStr">
        <is>
          <t>4–5 м 2 /кг</t>
        </is>
      </c>
      <c r="K88" s="8" t="inlineStr"/>
      <c r="L88" s="8" t="inlineStr">
        <is>
          <t>https://osnovit.ru/catalog/gruntovki/bettokont-lp55/</t>
        </is>
      </c>
    </row>
    <row r="89">
      <c r="A89" s="8" t="inlineStr">
        <is>
          <t>Основит</t>
        </is>
      </c>
      <c r="B89" s="8" t="inlineStr">
        <is>
          <t>product</t>
        </is>
      </c>
      <c r="C89" s="8" t="inlineStr">
        <is>
          <t>Грунт бетоноконтакт Основит Беттоконт LP551 20 кг</t>
        </is>
      </c>
      <c r="D89" s="8" t="inlineStr">
        <is>
          <t>Основит Беттоконт LP551</t>
        </is>
      </c>
      <c r="E89" s="8" t="inlineStr">
        <is>
          <t>20 кг</t>
        </is>
      </c>
      <c r="F89" s="8" t="inlineStr">
        <is>
          <t>primer</t>
        </is>
      </c>
      <c r="G89" s="8" t="inlineStr">
        <is>
          <t>no</t>
        </is>
      </c>
      <c r="H89" s="8" t="inlineStr">
        <is>
          <t>Грунт ОСНОВИТ БЕТТОКОНТ LP551 предназначен для предварительной обработки плотных, слабовпитывающих влагу гладких оснований.</t>
        </is>
      </c>
      <c r="I89" s="8" t="inlineStr">
        <is>
          <t>20 кг</t>
        </is>
      </c>
      <c r="J89" s="8" t="inlineStr">
        <is>
          <t>3–4 м 2 /кг</t>
        </is>
      </c>
      <c r="K89" s="8" t="inlineStr">
        <is>
          <t>Новинка</t>
        </is>
      </c>
      <c r="L89" s="8" t="inlineStr">
        <is>
          <t>https://osnovit.ru/catalog/gruntovki/grunt-betonokontakt-osnovit-bettokont-lp551/</t>
        </is>
      </c>
    </row>
    <row r="90">
      <c r="A90" s="8" t="inlineStr">
        <is>
          <t>Основит</t>
        </is>
      </c>
      <c r="B90" s="8" t="inlineStr">
        <is>
          <t>product</t>
        </is>
      </c>
      <c r="C90" s="8" t="inlineStr">
        <is>
          <t>Раствор цветной для расшивки швов Основит Бриксэйв XC30 20 кг</t>
        </is>
      </c>
      <c r="D90" s="8" t="inlineStr">
        <is>
          <t>Основит Бриксэйв XC30</t>
        </is>
      </c>
      <c r="E90" s="8" t="inlineStr"/>
      <c r="F90" s="8" t="inlineStr">
        <is>
          <t>joint_pointing_brick</t>
        </is>
      </c>
      <c r="G90" s="8" t="inlineStr">
        <is>
          <t>yes</t>
        </is>
      </c>
      <c r="H90" s="8" t="inlineStr">
        <is>
          <t>Раствор для расшивки швов ОСНОВИТ БРИКСЭЙВ ХС30 предназначен для отделки швов:</t>
        </is>
      </c>
      <c r="I90" s="8" t="inlineStr">
        <is>
          <t>20 кг</t>
        </is>
      </c>
      <c r="J90" s="8" t="inlineStr">
        <is>
          <t>5,0</t>
        </is>
      </c>
      <c r="K90" s="8" t="inlineStr">
        <is>
          <t>Колеровка</t>
        </is>
      </c>
      <c r="L90" s="8" t="inlineStr">
        <is>
          <t>https://osnovit.ru/catalog/rasshivki/brikseyv-xc30/</t>
        </is>
      </c>
    </row>
    <row r="91">
      <c r="A91" s="8" t="inlineStr">
        <is>
          <t>Основит</t>
        </is>
      </c>
      <c r="B91" s="8" t="inlineStr">
        <is>
          <t>product</t>
        </is>
      </c>
      <c r="C91" s="8" t="inlineStr">
        <is>
          <t>Цветной кладочный раствор для облицовочного кирпича Основит Брикформ MC11 (25 кг) Н</t>
        </is>
      </c>
      <c r="D91" s="8" t="inlineStr">
        <is>
          <t>Основит Брикформ MC11</t>
        </is>
      </c>
      <c r="E91" s="8" t="inlineStr">
        <is>
          <t>25 кг</t>
        </is>
      </c>
      <c r="F91" s="8" t="inlineStr">
        <is>
          <t>masonry_colored</t>
        </is>
      </c>
      <c r="G91" s="8" t="inlineStr">
        <is>
          <t>yes</t>
        </is>
      </c>
      <c r="H91" s="8" t="inlineStr">
        <is>
          <t>Кладочный раствор ОСНОВИТ БРИКФОРМ МС11 предназначен для кладки стен из керамического, силикатного и клинкерного облицовочного кирпича с возможностью расшивки швов в момент укладки.</t>
        </is>
      </c>
      <c r="I91" s="8" t="inlineStr">
        <is>
          <t>Вес упаковки
25 кг</t>
        </is>
      </c>
      <c r="J91" s="8" t="inlineStr">
        <is>
          <t>Расход смеси на 1 м2 кладки (шов 10 мм, кладка в 1/2 кирпича)
50 кг</t>
        </is>
      </c>
      <c r="K91" s="8" t="inlineStr">
        <is>
          <t>Колеровка</t>
        </is>
      </c>
      <c r="L91" s="8" t="inlineStr">
        <is>
          <t>https://osnovit.ru/catalog/tsvetnye-kladochnye-rastvory/kladochnyy-rastvor-osnovit-brikform-ms11-N/</t>
        </is>
      </c>
    </row>
    <row r="92">
      <c r="A92" s="8" t="inlineStr">
        <is>
          <t>Основит</t>
        </is>
      </c>
      <c r="B92" s="8" t="inlineStr">
        <is>
          <t>product</t>
        </is>
      </c>
      <c r="C92" s="8" t="inlineStr">
        <is>
          <t>Раствор кладочный цветной для облицовочного кирпича Основит Брикформ MC11 25 кг</t>
        </is>
      </c>
      <c r="D92" s="8" t="inlineStr">
        <is>
          <t>Основит Брикформ MC11</t>
        </is>
      </c>
      <c r="E92" s="8" t="inlineStr">
        <is>
          <t>34 цвета (колеровка)</t>
        </is>
      </c>
      <c r="F92" s="8" t="inlineStr">
        <is>
          <t>masonry_colored</t>
        </is>
      </c>
      <c r="G92" s="8" t="inlineStr">
        <is>
          <t>yes</t>
        </is>
      </c>
      <c r="H92" s="8" t="inlineStr">
        <is>
          <t>Кладочный раствор ОСНОВИТ БРИКФОРМ МС11 предназначен для кладки стен из керамического, силикатного и клинкерного облицовочного кирпича с возможностью расшивки швов в момент укладки.</t>
        </is>
      </c>
      <c r="I92" s="8" t="inlineStr">
        <is>
          <t>Вес упаковки
25 кг</t>
        </is>
      </c>
      <c r="J92" s="8" t="inlineStr">
        <is>
          <t>Расход смеси на 1 м2 кладки (шов 10 мм, кладка в 1/2 кирпича)
50 кг</t>
        </is>
      </c>
      <c r="K92" s="8" t="inlineStr">
        <is>
          <t>Колеровка</t>
        </is>
      </c>
      <c r="L92" s="8" t="inlineStr">
        <is>
          <t>https://osnovit.ru/catalog/kladochnye-rastvory/kladochnyy-rastvor-osnovit-brikform-ms11/</t>
        </is>
      </c>
    </row>
    <row r="93">
      <c r="A93" s="8" t="inlineStr">
        <is>
          <t>Основит</t>
        </is>
      </c>
      <c r="B93" s="8" t="inlineStr">
        <is>
          <t>product</t>
        </is>
      </c>
      <c r="C93" s="8" t="inlineStr">
        <is>
          <t>Раствор кладочный зимний для облицовочного кирпича Основит Брикформ MC11 F 25 кг</t>
        </is>
      </c>
      <c r="D93" s="8" t="inlineStr">
        <is>
          <t>Основит Брикформ MC11</t>
        </is>
      </c>
      <c r="E93" s="8" t="inlineStr">
        <is>
          <t>зима; 17 цветов</t>
        </is>
      </c>
      <c r="F93" s="8" t="inlineStr">
        <is>
          <t>masonry_colored</t>
        </is>
      </c>
      <c r="G93" s="8" t="inlineStr">
        <is>
          <t>yes</t>
        </is>
      </c>
      <c r="H93" s="8" t="inlineStr">
        <is>
          <t>Кладочный раствор ОСНОВИТ БРИКФОРМ МС11 F зимний предназначен для кладки стен из облицовочного кирпича с водопоглощением до 12% с возможностью расшивки швов в момент укладки при температуре окружающей среды и основания от -10 до + 10°С.</t>
        </is>
      </c>
      <c r="I93" s="8" t="inlineStr">
        <is>
          <t>Мешок 25кг</t>
        </is>
      </c>
      <c r="J93" s="8" t="inlineStr">
        <is>
          <t>Расход смеси, кг на 1м² кладки (ложковая кладка)
50 кг</t>
        </is>
      </c>
      <c r="K93" s="8" t="inlineStr">
        <is>
          <t>Зима, Новинка</t>
        </is>
      </c>
      <c r="L93" s="8" t="inlineStr">
        <is>
          <t>https://osnovit.ru/catalog/kladochnye-rastvory/kladochnyy-rastvor-osnovit-brikform-ms11-f-zimniy-belyy-010/</t>
        </is>
      </c>
    </row>
    <row r="94">
      <c r="A94" s="8" t="inlineStr">
        <is>
          <t>Основит</t>
        </is>
      </c>
      <c r="B94" s="8" t="inlineStr">
        <is>
          <t>product</t>
        </is>
      </c>
      <c r="C94" s="8" t="inlineStr">
        <is>
          <t>Раствор кладочный для кирпича с очень высоким водопоглощением Основит Брикформ MC11/1 25 кг</t>
        </is>
      </c>
      <c r="D94" s="8" t="inlineStr">
        <is>
          <t>Основит Брикформ MC11/1</t>
        </is>
      </c>
      <c r="E94" s="8" t="inlineStr">
        <is>
          <t>25 кг</t>
        </is>
      </c>
      <c r="F94" s="8" t="inlineStr">
        <is>
          <t>masonry_colored</t>
        </is>
      </c>
      <c r="G94" s="8" t="inlineStr">
        <is>
          <t>yes</t>
        </is>
      </c>
      <c r="H94" s="8" t="inlineStr">
        <is>
          <t>Кладочный раствор ОСНОВИТ БРИКФОРМ МС11/1 предназначен для кладки стен и перегородок из облицовочного кирпича с водопоглощением более 12% с возможностью расшивки швов в момент укладки.</t>
        </is>
      </c>
      <c r="I94" s="8" t="inlineStr">
        <is>
          <t>Вес упаковки
25 кг</t>
        </is>
      </c>
      <c r="J94" s="8" t="inlineStr">
        <is>
          <t>Расход смеси на 1 м 2 кладки (шов 10 мм, кладка в 1/2 кирпича)
50 кг</t>
        </is>
      </c>
      <c r="K94" s="8" t="inlineStr">
        <is>
          <t>Колеровка</t>
        </is>
      </c>
      <c r="L94" s="8" t="inlineStr">
        <is>
          <t>https://osnovit.ru/catalog/tsvetnye-kladochnye-rastvory/kladochnyy-rastvor-osnovit-brikform-ms11-1-N/</t>
        </is>
      </c>
    </row>
    <row r="95">
      <c r="A95" s="8" t="inlineStr">
        <is>
          <t>Основит</t>
        </is>
      </c>
      <c r="B95" s="8" t="inlineStr">
        <is>
          <t>product</t>
        </is>
      </c>
      <c r="C95" s="8" t="inlineStr">
        <is>
          <t>Раствор кладочный цветной для облицовочного кирпича с высоким водопоглощением Основит Брикформ MC11/1 25 кг</t>
        </is>
      </c>
      <c r="D95" s="8" t="inlineStr">
        <is>
          <t>Основит Брикформ MC11/1</t>
        </is>
      </c>
      <c r="E95" s="8" t="inlineStr">
        <is>
          <t>34 цвета (колеровка)</t>
        </is>
      </c>
      <c r="F95" s="8" t="inlineStr">
        <is>
          <t>masonry_colored</t>
        </is>
      </c>
      <c r="G95" s="8" t="inlineStr">
        <is>
          <t>yes</t>
        </is>
      </c>
      <c r="H95" s="8" t="inlineStr">
        <is>
          <t>Кладочный раствор ОСНОВИТ БРИКФОРМ МС11/1 предназначен для кладки стен и перегородок из облицовочного кирпича с водопоглощением более 12% с возможностью расшивки швов в момент укладки.</t>
        </is>
      </c>
      <c r="I95" s="8" t="inlineStr">
        <is>
          <t>Вес упаковки
25 кг</t>
        </is>
      </c>
      <c r="J95" s="8" t="inlineStr">
        <is>
          <t>Расход смеси на 1 м 2 кладки (шов 10 мм, кладка в 1/2 кирпича)
50 кг</t>
        </is>
      </c>
      <c r="K95" s="8" t="inlineStr">
        <is>
          <t>Колеровка</t>
        </is>
      </c>
      <c r="L95" s="8" t="inlineStr">
        <is>
          <t>https://osnovit.ru/catalog/kladochnye-rastvory/kladochnyy-rastvor-osnovit-brikform-ms11-1/</t>
        </is>
      </c>
    </row>
    <row r="96">
      <c r="A96" s="8" t="inlineStr">
        <is>
          <t>Основит</t>
        </is>
      </c>
      <c r="B96" s="8" t="inlineStr">
        <is>
          <t>product</t>
        </is>
      </c>
      <c r="C96" s="8" t="inlineStr">
        <is>
          <t>Раствор кладочный зимний белый для облицовочного кирпича Основит Брикформ MC11/1 F 25 кг</t>
        </is>
      </c>
      <c r="D96" s="8" t="inlineStr">
        <is>
          <t>Основит Брикформ MC11/1</t>
        </is>
      </c>
      <c r="E96" s="8" t="inlineStr">
        <is>
          <t>зима, белый</t>
        </is>
      </c>
      <c r="F96" s="8" t="inlineStr">
        <is>
          <t>masonry_colored</t>
        </is>
      </c>
      <c r="G96" s="8" t="inlineStr">
        <is>
          <t>yes</t>
        </is>
      </c>
      <c r="H96" s="8" t="inlineStr">
        <is>
          <t>предназначен для кладки стен и перегородок из облицовочного кирпича водопоглощением более 12% с возможностью расшивки швов в момент укладки при температуре окружающей среды и основания от -10 до + 10°С.</t>
        </is>
      </c>
      <c r="I96" s="8" t="inlineStr">
        <is>
          <t>Мешок 25кг</t>
        </is>
      </c>
      <c r="J96" s="8" t="inlineStr">
        <is>
          <t>50 кг</t>
        </is>
      </c>
      <c r="K96" s="8" t="inlineStr">
        <is>
          <t>Зима</t>
        </is>
      </c>
      <c r="L96" s="8" t="inlineStr">
        <is>
          <t>https://osnovit.ru/catalog/kladochnye-rastvory/kladochnyy-rastvor-osnovit-brikform-ms11-1-f/</t>
        </is>
      </c>
    </row>
    <row r="97">
      <c r="A97" s="8" t="inlineStr">
        <is>
          <t>Основит</t>
        </is>
      </c>
      <c r="B97" s="8" t="inlineStr">
        <is>
          <t>product</t>
        </is>
      </c>
      <c r="C97" s="8" t="inlineStr">
        <is>
          <t>Шпаклевка гипсовая универсальная белая Основит Версилк PG34 W 20 кг</t>
        </is>
      </c>
      <c r="D97" s="8" t="inlineStr">
        <is>
          <t>Основит Версилк PG34 W</t>
        </is>
      </c>
      <c r="E97" s="8" t="inlineStr"/>
      <c r="F97" s="8" t="inlineStr">
        <is>
          <t>putty_gypsum</t>
        </is>
      </c>
      <c r="G97" s="8" t="inlineStr">
        <is>
          <t>yes</t>
        </is>
      </c>
      <c r="H97" s="8" t="inlineStr">
        <is>
          <t>Шпаклевка ОСНОВИТ ВЕРСИЛК PG34 W предназначена для заделки швов и стыков ГКЛ и ГВЛ, для выравнивания ГКЛ, ГВЛ, ПГП и СМЛ, а также для финишного выравнивания стен и потолков в сухих помещениях.</t>
        </is>
      </c>
      <c r="I97" s="8" t="inlineStr">
        <is>
          <t>20 кг</t>
        </is>
      </c>
      <c r="J97" s="8" t="inlineStr">
        <is>
          <t>0,8-0,9 кг/м²</t>
        </is>
      </c>
      <c r="K97" s="8" t="inlineStr"/>
      <c r="L97" s="8" t="inlineStr">
        <is>
          <t>https://osnovit.ru/catalog/shpaklevki/shpaklevka-gipsovaya-vyravnivayushchaya-belaya-versilk-pg-34-w/</t>
        </is>
      </c>
    </row>
    <row r="98">
      <c r="A98" s="8" t="inlineStr">
        <is>
          <t>Основит</t>
        </is>
      </c>
      <c r="B98" s="8" t="inlineStr">
        <is>
          <t>product</t>
        </is>
      </c>
      <c r="C98" s="8" t="inlineStr">
        <is>
          <t>Пол полимерный финишный Основит Гардлайн FE01 (комплект)</t>
        </is>
      </c>
      <c r="D98" s="8" t="inlineStr">
        <is>
          <t>Основит Гардлайн FE01</t>
        </is>
      </c>
      <c r="E98" s="8" t="inlineStr">
        <is>
          <t>комплект</t>
        </is>
      </c>
      <c r="F98" s="8" t="inlineStr">
        <is>
          <t>polymer_coating</t>
        </is>
      </c>
      <c r="G98" s="8" t="inlineStr">
        <is>
          <t>no</t>
        </is>
      </c>
      <c r="H98" s="8" t="inlineStr">
        <is>
          <t>прочное декоративное покрытие, защищённое от появления пыли и трещин, а также стойкое к химическим и механическим воздействиям.</t>
        </is>
      </c>
      <c r="I98" s="8" t="inlineStr">
        <is>
          <t>Комплексное решение: грунт, покрытие, флоки, кисть, палочки для перемешивания, перчатки</t>
        </is>
      </c>
      <c r="J98" s="8" t="inlineStr">
        <is>
          <t>1,25 кг*</t>
        </is>
      </c>
      <c r="K98" s="8" t="inlineStr">
        <is>
          <t>Новинка</t>
        </is>
      </c>
      <c r="L98" s="8" t="inlineStr">
        <is>
          <t>https://osnovit.ru/catalog/polimernye-pokrytiya/guardline/</t>
        </is>
      </c>
    </row>
    <row r="99">
      <c r="A99" s="8" t="inlineStr">
        <is>
          <t>Основит</t>
        </is>
      </c>
      <c r="B99" s="8" t="inlineStr">
        <is>
          <t>product</t>
        </is>
      </c>
      <c r="C99" s="8" t="inlineStr">
        <is>
          <t>Штукатурка гипсовая универсальная белая Основит Гипсвэлл PG25 W 30 кг</t>
        </is>
      </c>
      <c r="D99" s="8" t="inlineStr">
        <is>
          <t>Основит Гипсвэлл PG25</t>
        </is>
      </c>
      <c r="E99" s="8" t="inlineStr">
        <is>
          <t>белая (W)</t>
        </is>
      </c>
      <c r="F99" s="8" t="inlineStr">
        <is>
          <t>plaster_gypsum</t>
        </is>
      </c>
      <c r="G99" s="8" t="inlineStr">
        <is>
          <t>yes</t>
        </is>
      </c>
      <c r="H99" s="8" t="inlineStr">
        <is>
          <t>ОСНОВИТ ГИПСВЭЛЛ PG25 W — универсальная гипсовая штукатурка белого цвета для выравнивания стен и потолков внутри помещений с нормальной влажностью.</t>
        </is>
      </c>
      <c r="I99" s="8" t="inlineStr">
        <is>
          <t>30 кг</t>
        </is>
      </c>
      <c r="J99" s="8" t="inlineStr">
        <is>
          <t>8-9 кг/м²</t>
        </is>
      </c>
      <c r="K99" s="8" t="inlineStr"/>
      <c r="L99" s="8" t="inlineStr">
        <is>
          <t>https://osnovit.ru/catalog/shtukaturki/shtukaturka-gipsovaya-universalnayabelaya-osnovit-gipsvell-pg-25-w/</t>
        </is>
      </c>
    </row>
    <row r="100">
      <c r="A100" s="8" t="inlineStr">
        <is>
          <t>Основит</t>
        </is>
      </c>
      <c r="B100" s="8" t="inlineStr">
        <is>
          <t>product</t>
        </is>
      </c>
      <c r="C100" s="8" t="inlineStr">
        <is>
          <t>Штукатурка гипсовая универсальная серая Основит Гипсвэлл PG25 30 кг</t>
        </is>
      </c>
      <c r="D100" s="8" t="inlineStr">
        <is>
          <t>Основит Гипсвэлл PG25</t>
        </is>
      </c>
      <c r="E100" s="8" t="inlineStr">
        <is>
          <t>серая</t>
        </is>
      </c>
      <c r="F100" s="8" t="inlineStr">
        <is>
          <t>plaster_gypsum</t>
        </is>
      </c>
      <c r="G100" s="8" t="inlineStr">
        <is>
          <t>yes</t>
        </is>
      </c>
      <c r="H100" s="8" t="inlineStr">
        <is>
          <t>ОСНОВИТ ГИПСВЭЛЛ PG25 — универсальная гипсовая штукатурка серого цвета для выравнивания стен и потолков внутри помещений с нормальной влажностью.</t>
        </is>
      </c>
      <c r="I100" s="8" t="inlineStr">
        <is>
          <t>30 кг</t>
        </is>
      </c>
      <c r="J100" s="8" t="inlineStr">
        <is>
          <t>8-9 кг/м²</t>
        </is>
      </c>
      <c r="K100" s="8" t="inlineStr"/>
      <c r="L100" s="8" t="inlineStr">
        <is>
          <t>https://osnovit.ru/catalog/shtukaturki/osnovit-gipsvell-seraya-pg-25-shtukaturka-gipsovaya-universalnaya/</t>
        </is>
      </c>
    </row>
    <row r="101">
      <c r="A101" s="8" t="inlineStr">
        <is>
          <t>Основит</t>
        </is>
      </c>
      <c r="B101" s="8" t="inlineStr">
        <is>
          <t>product</t>
        </is>
      </c>
      <c r="C101" s="8" t="inlineStr">
        <is>
          <t>Клей плиточный гранит Основит Гранипликс AC14 [C2TE]</t>
        </is>
      </c>
      <c r="D101" s="8" t="inlineStr">
        <is>
          <t>Основит Гранипликс AC14</t>
        </is>
      </c>
      <c r="E101" s="8" t="inlineStr"/>
      <c r="F101" s="8" t="inlineStr">
        <is>
          <t>tile_adhesive</t>
        </is>
      </c>
      <c r="G101" s="8" t="inlineStr">
        <is>
          <t>yes</t>
        </is>
      </c>
      <c r="H101" s="8" t="inlineStr">
        <is>
          <t>Плиточный клей Основит Гранипликс AC14 гранит беспылевой предназначен для укладки тяжелых плит из керамогранита, натурального камня, искусственного камня (клинкерная плитка) и керамической плитки (вес до 800 г / 100 см²).</t>
        </is>
      </c>
      <c r="I101" s="8" t="inlineStr">
        <is>
          <t>25 кг, 5 кг</t>
        </is>
      </c>
      <c r="J101" s="8" t="inlineStr">
        <is>
          <t>1,3-1,5 кг/м 2</t>
        </is>
      </c>
      <c r="K101" s="8" t="inlineStr"/>
      <c r="L101" s="8" t="inlineStr">
        <is>
          <t>https://osnovit.ru/catalog/plitochnye-klei/granipliks-as14/</t>
        </is>
      </c>
    </row>
    <row r="102">
      <c r="A102" s="8" t="inlineStr">
        <is>
          <t>Основит</t>
        </is>
      </c>
      <c r="B102" s="8" t="inlineStr">
        <is>
          <t>product</t>
        </is>
      </c>
      <c r="C102" s="8" t="inlineStr">
        <is>
          <t>Клей плиточный зимний Основит Гранипликс AC14 F [C2T] 25 кг</t>
        </is>
      </c>
      <c r="D102" s="8" t="inlineStr">
        <is>
          <t>Основит Гранипликс AC14</t>
        </is>
      </c>
      <c r="E102" s="8" t="inlineStr">
        <is>
          <t>зима</t>
        </is>
      </c>
      <c r="F102" s="8" t="inlineStr">
        <is>
          <t>tile_adhesive</t>
        </is>
      </c>
      <c r="G102" s="8" t="inlineStr">
        <is>
          <t>yes</t>
        </is>
      </c>
      <c r="H102" s="8" t="inlineStr">
        <is>
          <t>Плиточный клей Основит Гранипликс AC14 F зимний предназначен для укладки керамической и клинкерной плитки, плит из керамогранита, натурального и искусственного камня (вес до 800 г / 100 см²) при температуре окружающей среды и основания от + 10°С до -10°С.</t>
        </is>
      </c>
      <c r="I102" s="8" t="inlineStr">
        <is>
          <t>25 кг</t>
        </is>
      </c>
      <c r="J102" s="8" t="inlineStr">
        <is>
          <t>1,3-1,5 кг/м²</t>
        </is>
      </c>
      <c r="K102" s="8" t="inlineStr">
        <is>
          <t>Зима</t>
        </is>
      </c>
      <c r="L102" s="8" t="inlineStr">
        <is>
          <t>https://osnovit.ru/catalog/plitochnye-klei/osnovit-granipliks-as14-f-zimniy-kley-granit-dlya-naturalnogo-kamnya-keramogranita-klinkernoy-i-kera/</t>
        </is>
      </c>
    </row>
    <row r="103">
      <c r="A103" s="8" t="inlineStr">
        <is>
          <t>Основит</t>
        </is>
      </c>
      <c r="B103" s="8" t="inlineStr">
        <is>
          <t>product</t>
        </is>
      </c>
      <c r="C103" s="8" t="inlineStr">
        <is>
          <t>Клей плиточный быстротвердеющий Основит Гранипликс AC15 R [C1TF]</t>
        </is>
      </c>
      <c r="D103" s="8" t="inlineStr">
        <is>
          <t>Основит Гранипликс AC15 R</t>
        </is>
      </c>
      <c r="E103" s="8" t="inlineStr"/>
      <c r="F103" s="8" t="inlineStr">
        <is>
          <t>tile_adhesive</t>
        </is>
      </c>
      <c r="G103" s="8" t="inlineStr">
        <is>
          <t>yes</t>
        </is>
      </c>
      <c r="H103" s="8" t="inlineStr">
        <is>
          <t>Плиточный клей Основит Гранипликс AC15 R предназначен для выполнения ремонтных работ и ускоренной облицовки стен и пола искусственным и натуральным камнем, керамической плиткой и керамогранитом (вес до 800 г / 100 см²).</t>
        </is>
      </c>
      <c r="I103" s="8" t="inlineStr">
        <is>
          <t>5 кг, 25 кг</t>
        </is>
      </c>
      <c r="J103" s="8" t="inlineStr"/>
      <c r="K103" s="8" t="inlineStr"/>
      <c r="L103" s="8" t="inlineStr">
        <is>
          <t>https://osnovit.ru/catalog/plitochnye-klei/skorpliks-t-15/</t>
        </is>
      </c>
    </row>
    <row r="104">
      <c r="A104" s="8" t="inlineStr">
        <is>
          <t>Основит</t>
        </is>
      </c>
      <c r="B104" s="8" t="inlineStr">
        <is>
          <t>product</t>
        </is>
      </c>
      <c r="C104" s="8" t="inlineStr">
        <is>
          <t>Шпаклевка цементная финишная серая Основит Грейсилк PC31 G 20 кг</t>
        </is>
      </c>
      <c r="D104" s="8" t="inlineStr">
        <is>
          <t>Основит Грейсилк PC31 G</t>
        </is>
      </c>
      <c r="E104" s="8" t="inlineStr"/>
      <c r="F104" s="8" t="inlineStr">
        <is>
          <t>putty_cement</t>
        </is>
      </c>
      <c r="G104" s="8" t="inlineStr">
        <is>
          <t>yes</t>
        </is>
      </c>
      <c r="H104" s="8" t="inlineStr">
        <is>
          <t>предназначена для финишного выравнивания фасадов, стен и потолков в сухих и влажных помещениях.</t>
        </is>
      </c>
      <c r="I104" s="8" t="inlineStr">
        <is>
          <t>20 кг</t>
        </is>
      </c>
      <c r="J104" s="8" t="inlineStr">
        <is>
          <t>1,3 кг/м²</t>
        </is>
      </c>
      <c r="K104" s="8" t="inlineStr"/>
      <c r="L104" s="8" t="inlineStr">
        <is>
          <t>https://osnovit.ru/catalog/shpaklevki/greysilk-t-31/</t>
        </is>
      </c>
    </row>
    <row r="105">
      <c r="A105" s="8" t="inlineStr">
        <is>
          <t>Основит</t>
        </is>
      </c>
      <c r="B105" s="8" t="inlineStr">
        <is>
          <t>product</t>
        </is>
      </c>
      <c r="C105" s="8" t="inlineStr">
        <is>
          <t>Грунт глубокого проникновения Основит Дипконт LP53 1 л</t>
        </is>
      </c>
      <c r="D105" s="8" t="inlineStr">
        <is>
          <t>Основит Дипконт LP53</t>
        </is>
      </c>
      <c r="E105" s="8" t="inlineStr">
        <is>
          <t>1 л</t>
        </is>
      </c>
      <c r="F105" s="8" t="inlineStr">
        <is>
          <t>primer</t>
        </is>
      </c>
      <c r="G105" s="8" t="inlineStr">
        <is>
          <t>no</t>
        </is>
      </c>
      <c r="H105" s="8" t="inlineStr">
        <is>
          <t>Грунт глубокого проникновения ОСНОВИТ ДИПКОНТ LP53 предназначен для предварительной обработки и обеспыливания минеральных оснований. Рекомендуется для упрочнения старых, рыхлых, непрочных, мелящихся и сильновпитывающих оснований.</t>
        </is>
      </c>
      <c r="I105" s="8" t="inlineStr">
        <is>
          <t>1 л</t>
        </is>
      </c>
      <c r="J105" s="8" t="inlineStr">
        <is>
          <t>10–20 м 2 /л</t>
        </is>
      </c>
      <c r="K105" s="8" t="inlineStr"/>
      <c r="L105" s="8" t="inlineStr">
        <is>
          <t>https://osnovit.ru/catalog/gruntovki/grunt-glubokogo-proniknoveniya-osnovit-dipkont-lp53-1-l/</t>
        </is>
      </c>
    </row>
    <row r="106">
      <c r="A106" s="8" t="inlineStr">
        <is>
          <t>Основит</t>
        </is>
      </c>
      <c r="B106" s="8" t="inlineStr">
        <is>
          <t>product</t>
        </is>
      </c>
      <c r="C106" s="8" t="inlineStr">
        <is>
          <t>Грунт глубокого проникновения Основит Дипконт LP53 10 л</t>
        </is>
      </c>
      <c r="D106" s="8" t="inlineStr">
        <is>
          <t>Основит Дипконт LP53</t>
        </is>
      </c>
      <c r="E106" s="8" t="inlineStr">
        <is>
          <t>10 л</t>
        </is>
      </c>
      <c r="F106" s="8" t="inlineStr">
        <is>
          <t>primer</t>
        </is>
      </c>
      <c r="G106" s="8" t="inlineStr">
        <is>
          <t>no</t>
        </is>
      </c>
      <c r="H106" s="8" t="inlineStr">
        <is>
          <t>Грунт глубокого проникновения ОСНОВИТ ДИПКОНТ LP53 предназначен для предварительной обработки и обеспыливания минеральных оснований. Рекомендуется для упрочнения старых, рыхлых, непрочных, мелящихся и сильновпитывающих оснований.</t>
        </is>
      </c>
      <c r="I106" s="8" t="inlineStr">
        <is>
          <t>10 л</t>
        </is>
      </c>
      <c r="J106" s="8" t="inlineStr">
        <is>
          <t>10–20 м 2 /л</t>
        </is>
      </c>
      <c r="K106" s="8" t="inlineStr"/>
      <c r="L106" s="8" t="inlineStr">
        <is>
          <t>https://osnovit.ru/catalog/gruntovki/dipkont-t-53/</t>
        </is>
      </c>
    </row>
    <row r="107">
      <c r="A107" s="8" t="inlineStr">
        <is>
          <t>Основит</t>
        </is>
      </c>
      <c r="B107" s="8" t="inlineStr">
        <is>
          <t>product</t>
        </is>
      </c>
      <c r="C107" s="8" t="inlineStr">
        <is>
          <t>Грунт глубокого проникновения Основит Дипконт LP53 5 л</t>
        </is>
      </c>
      <c r="D107" s="8" t="inlineStr">
        <is>
          <t>Основит Дипконт LP53</t>
        </is>
      </c>
      <c r="E107" s="8" t="inlineStr">
        <is>
          <t>5 л</t>
        </is>
      </c>
      <c r="F107" s="8" t="inlineStr">
        <is>
          <t>primer</t>
        </is>
      </c>
      <c r="G107" s="8" t="inlineStr">
        <is>
          <t>no</t>
        </is>
      </c>
      <c r="H107" s="8" t="inlineStr">
        <is>
          <t>Грунт глубокого проникновения ОСНОВИТ ДИПКОНТ LP53 предназначен для предварительной обработки и обеспыливания минеральных оснований. Рекомендуется для упрочнения старых, рыхлых, непрочных, мелящихся и сильновпитывающих оснований.</t>
        </is>
      </c>
      <c r="I107" s="8" t="inlineStr">
        <is>
          <t>5 л</t>
        </is>
      </c>
      <c r="J107" s="8" t="inlineStr">
        <is>
          <t>10–20 м 2 /л</t>
        </is>
      </c>
      <c r="K107" s="8" t="inlineStr"/>
      <c r="L107" s="8" t="inlineStr">
        <is>
          <t>https://osnovit.ru/catalog/gruntovki/dipkont-lp53-5-l/</t>
        </is>
      </c>
    </row>
    <row r="108">
      <c r="A108" s="8" t="inlineStr">
        <is>
          <t>Основит</t>
        </is>
      </c>
      <c r="B108" s="8" t="inlineStr">
        <is>
          <t>product</t>
        </is>
      </c>
      <c r="C108" s="8" t="inlineStr">
        <is>
          <t>Грунт интерьерный Основит Интеконт LP50</t>
        </is>
      </c>
      <c r="D108" s="8" t="inlineStr">
        <is>
          <t>Основит Интеконт LP50</t>
        </is>
      </c>
      <c r="E108" s="8" t="inlineStr"/>
      <c r="F108" s="8" t="inlineStr">
        <is>
          <t>primer</t>
        </is>
      </c>
      <c r="G108" s="8" t="inlineStr">
        <is>
          <t>no</t>
        </is>
      </c>
      <c r="H108" s="8" t="inlineStr">
        <is>
          <t>Интерьерный грунт Основит Интеконт LP50 предназначен для предварительной обработки и обеспыливания минеральных оснований. Применяется для подготовки поверхности под последующее нанесение отделочных материалов: штукатурок, шпаклёвок, плиточных клеёв, лакокрасочных материалов.</t>
        </is>
      </c>
      <c r="I108" s="8" t="inlineStr">
        <is>
          <t>10 л</t>
        </is>
      </c>
      <c r="J108" s="8" t="inlineStr">
        <is>
          <t>5–10 м 2 /л</t>
        </is>
      </c>
      <c r="K108" s="8" t="inlineStr"/>
      <c r="L108" s="8" t="inlineStr">
        <is>
          <t>https://osnovit.ru/catalog/gruntovki/intekont-t-50/</t>
        </is>
      </c>
    </row>
    <row r="109">
      <c r="A109" s="8" t="inlineStr">
        <is>
          <t>Основит</t>
        </is>
      </c>
      <c r="B109" s="8" t="inlineStr">
        <is>
          <t>product</t>
        </is>
      </c>
      <c r="C109" s="8" t="inlineStr">
        <is>
          <t>Смесь клеевая Основит Каверпликс AC115 25 кг</t>
        </is>
      </c>
      <c r="D109" s="8" t="inlineStr">
        <is>
          <t>Основит Каверпликс AC115</t>
        </is>
      </c>
      <c r="E109" s="8" t="inlineStr"/>
      <c r="F109" s="8" t="inlineStr">
        <is>
          <t>etics_adhesive_base</t>
        </is>
      </c>
      <c r="G109" s="8" t="inlineStr">
        <is>
          <t>yes</t>
        </is>
      </c>
      <c r="H109" s="8" t="inlineStr">
        <is>
          <t>Клеевая смесь Основит Каверпликс АС115 предназначена для монтажа минераловатных плит. Рекомендуется для создания «дышащих» систем утепления фасадов как новых, так и старых зданий.</t>
        </is>
      </c>
      <c r="I109" s="8" t="inlineStr">
        <is>
          <t>Вес упаковки
25 кг</t>
        </is>
      </c>
      <c r="J109" s="8" t="inlineStr">
        <is>
          <t>Расход смеси при слое 1 мм
1,3-1,5 кг/м2</t>
        </is>
      </c>
      <c r="K109" s="8" t="inlineStr"/>
      <c r="L109" s="8" t="inlineStr">
        <is>
          <t>https://osnovit.ru/catalog/kleevye-sostavy/kleevaya-smes-kaverpliks-as115-/</t>
        </is>
      </c>
    </row>
    <row r="110">
      <c r="A110" s="8" t="inlineStr">
        <is>
          <t>Основит</t>
        </is>
      </c>
      <c r="B110" s="8" t="inlineStr">
        <is>
          <t>product</t>
        </is>
      </c>
      <c r="C110" s="8" t="inlineStr">
        <is>
          <t>Смесь клеевая зимняя Основит Каверпликс AC115 F 25 кг</t>
        </is>
      </c>
      <c r="D110" s="8" t="inlineStr">
        <is>
          <t>Основит Каверпликс AC115</t>
        </is>
      </c>
      <c r="E110" s="8" t="inlineStr">
        <is>
          <t>зима</t>
        </is>
      </c>
      <c r="F110" s="8" t="inlineStr">
        <is>
          <t>etics_adhesive_base</t>
        </is>
      </c>
      <c r="G110" s="8" t="inlineStr">
        <is>
          <t>yes</t>
        </is>
      </c>
      <c r="H110" s="8" t="inlineStr">
        <is>
          <t>Зимняя клеевая смесь Основит Каверпликс АС115 F предназначена для монтажа минераловатных плит при низких температурах окружающего воздуха от -10°C до +10°C.</t>
        </is>
      </c>
      <c r="I110" s="8" t="inlineStr">
        <is>
          <t>Вес упаковки
25 кг</t>
        </is>
      </c>
      <c r="J110" s="8" t="inlineStr">
        <is>
          <t>Расход смеси при слое 1 мм
1,3-1,5 кг/м2</t>
        </is>
      </c>
      <c r="K110" s="8" t="inlineStr">
        <is>
          <t>Зима</t>
        </is>
      </c>
      <c r="L110" s="8" t="inlineStr">
        <is>
          <t>https://osnovit.ru/catalog/kleevye-sostavy/kleevaya-smes-kaverpliks-ac115f/</t>
        </is>
      </c>
    </row>
    <row r="111">
      <c r="A111" s="8" t="inlineStr">
        <is>
          <t>Основит</t>
        </is>
      </c>
      <c r="B111" s="8" t="inlineStr">
        <is>
          <t>product</t>
        </is>
      </c>
      <c r="C111" s="8" t="inlineStr">
        <is>
          <t>Смесь клеевая Основит Каверпликс AC116 25 кг</t>
        </is>
      </c>
      <c r="D111" s="8" t="inlineStr">
        <is>
          <t>Основит Каверпликс AC116</t>
        </is>
      </c>
      <c r="E111" s="8" t="inlineStr"/>
      <c r="F111" s="8" t="inlineStr">
        <is>
          <t>etics_adhesive_base</t>
        </is>
      </c>
      <c r="G111" s="8" t="inlineStr">
        <is>
          <t>yes</t>
        </is>
      </c>
      <c r="H111" s="8" t="inlineStr">
        <is>
          <t>Клеевая смесь ОСНОВИТ КАВЕРПЛИКС AC116 предназначена для монтажа пенополистирольных и минераловатных плит. Рекомендуется для создания «дышащих» систем утепления фасадов как новых, так и старых зданий.</t>
        </is>
      </c>
      <c r="I111" s="8" t="inlineStr">
        <is>
          <t>Вес упаковки
25 кг</t>
        </is>
      </c>
      <c r="J111" s="8" t="inlineStr">
        <is>
          <t>Расход смеси при слое 1 мм
1,3-1,5 кг/м²</t>
        </is>
      </c>
      <c r="K111" s="8" t="inlineStr"/>
      <c r="L111" s="8" t="inlineStr">
        <is>
          <t>https://osnovit.ru/catalog/kleevye-sostavy/kleevaya-smes-osnovit-kaverpliks-ac116/</t>
        </is>
      </c>
    </row>
    <row r="112">
      <c r="A112" s="8" t="inlineStr">
        <is>
          <t>Основит</t>
        </is>
      </c>
      <c r="B112" s="8" t="inlineStr">
        <is>
          <t>product</t>
        </is>
      </c>
      <c r="C112" s="8" t="inlineStr">
        <is>
          <t>Смесь клеевая зимняя Основит Каверпликс AC116 F 25 кг</t>
        </is>
      </c>
      <c r="D112" s="8" t="inlineStr">
        <is>
          <t>Основит Каверпликс AC116</t>
        </is>
      </c>
      <c r="E112" s="8" t="inlineStr">
        <is>
          <t>зима</t>
        </is>
      </c>
      <c r="F112" s="8" t="inlineStr">
        <is>
          <t>etics_adhesive_base</t>
        </is>
      </c>
      <c r="G112" s="8" t="inlineStr">
        <is>
          <t>yes</t>
        </is>
      </c>
      <c r="H112" s="8" t="inlineStr">
        <is>
          <t>Клеевая смесь зимняя ОСНОВИТ КАВЕРПЛИКС ТС116 F предназначена для монтажа пенополистирольных и минераловатных плит при низких температурах окружающего воздуха от -10°C до +10°C.</t>
        </is>
      </c>
      <c r="I112" s="8" t="inlineStr">
        <is>
          <t>Вес упаковки
25 кг</t>
        </is>
      </c>
      <c r="J112" s="8" t="inlineStr">
        <is>
          <t>Расход смеси при слое 1 мм
1,3-1,5 кг/м²</t>
        </is>
      </c>
      <c r="K112" s="8" t="inlineStr">
        <is>
          <t>Зима</t>
        </is>
      </c>
      <c r="L112" s="8" t="inlineStr">
        <is>
          <t>https://osnovit.ru/catalog/kleevye-sostavy/kleevaya-smes-osnovit-kaverpliks-ac116-f-zimnyaya/</t>
        </is>
      </c>
    </row>
    <row r="113">
      <c r="A113" s="8" t="inlineStr">
        <is>
          <t>Основит</t>
        </is>
      </c>
      <c r="B113" s="8" t="inlineStr">
        <is>
          <t>product</t>
        </is>
      </c>
      <c r="C113" s="8" t="inlineStr">
        <is>
          <t>Смесь клеевая Основит Каверпликс AC117 25 кг</t>
        </is>
      </c>
      <c r="D113" s="8" t="inlineStr">
        <is>
          <t>Основит Каверпликс AC117</t>
        </is>
      </c>
      <c r="E113" s="8" t="inlineStr"/>
      <c r="F113" s="8" t="inlineStr">
        <is>
          <t>etics_adhesive_base</t>
        </is>
      </c>
      <c r="G113" s="8" t="inlineStr">
        <is>
          <t>yes</t>
        </is>
      </c>
      <c r="H113" s="8" t="inlineStr">
        <is>
          <t>Клеевая смесь ОСНОВИТ КАВЕРПЛИКС АС117 предназначена для монтажа пенополистирольных и минераловатных плит.</t>
        </is>
      </c>
      <c r="I113" s="8" t="inlineStr">
        <is>
          <t>Вес упаковки
25 кг</t>
        </is>
      </c>
      <c r="J113" s="8" t="inlineStr">
        <is>
          <t>Расход смеси при слое 1 мм
1,3-1,5 кг/м 2</t>
        </is>
      </c>
      <c r="K113" s="8" t="inlineStr"/>
      <c r="L113" s="8" t="inlineStr">
        <is>
          <t>https://osnovit.ru/catalog/kleevye-sostavy/kaverpliks-as117/</t>
        </is>
      </c>
    </row>
    <row r="114">
      <c r="A114" s="8" t="inlineStr">
        <is>
          <t>Основит</t>
        </is>
      </c>
      <c r="B114" s="8" t="inlineStr">
        <is>
          <t>product</t>
        </is>
      </c>
      <c r="C114" s="8" t="inlineStr">
        <is>
          <t>Смесь клеевая зимняя Основит Каверпликс AC117 F 25 кг</t>
        </is>
      </c>
      <c r="D114" s="8" t="inlineStr">
        <is>
          <t>Основит Каверпликс AC117</t>
        </is>
      </c>
      <c r="E114" s="8" t="inlineStr">
        <is>
          <t>зима</t>
        </is>
      </c>
      <c r="F114" s="8" t="inlineStr">
        <is>
          <t>etics_adhesive_base</t>
        </is>
      </c>
      <c r="G114" s="8" t="inlineStr">
        <is>
          <t>yes</t>
        </is>
      </c>
      <c r="H114" s="8" t="inlineStr">
        <is>
          <t>Зимняя клеевая смесь ОСНОВИТ КАВЕРПЛИКС АС117 F предназначена для создания клеевого слоя СФТК ОСНОВИТ при низких температурах окружающего воздуха от -10 до +10°C.</t>
        </is>
      </c>
      <c r="I114" s="8" t="inlineStr">
        <is>
          <t>Вес упаковки
25 кг</t>
        </is>
      </c>
      <c r="J114" s="8" t="inlineStr">
        <is>
          <t>Расход смеси при слое 1 мм (кг/м2)
1,3-1,5 кг</t>
        </is>
      </c>
      <c r="K114" s="8" t="inlineStr">
        <is>
          <t>Зима, Новинка</t>
        </is>
      </c>
      <c r="L114" s="8" t="inlineStr">
        <is>
          <t>https://osnovit.ru/catalog/kleevye-sostavy/kaverpliks-ac117-f-zimnyaya-kleevaya-smes-osnovit/</t>
        </is>
      </c>
    </row>
    <row r="115">
      <c r="A115" s="8" t="inlineStr">
        <is>
          <t>Основит</t>
        </is>
      </c>
      <c r="B115" s="8" t="inlineStr">
        <is>
          <t>product</t>
        </is>
      </c>
      <c r="C115" s="8" t="inlineStr">
        <is>
          <t>Смесь штукатурная белая армированная Основит Каверпликс PC117 W 25 кг</t>
        </is>
      </c>
      <c r="D115" s="8" t="inlineStr">
        <is>
          <t>Основит Каверпликс PC117 W</t>
        </is>
      </c>
      <c r="E115" s="8" t="inlineStr"/>
      <c r="F115" s="8" t="inlineStr">
        <is>
          <t>etics_adhesive_base</t>
        </is>
      </c>
      <c r="G115" s="8" t="inlineStr">
        <is>
          <t>yes</t>
        </is>
      </c>
      <c r="H115" s="8" t="inlineStr">
        <is>
          <t>Штукатурка армированная белая Основит Каверпликс РС117 W предназначена для создания армированного базового штукатурного слоя.</t>
        </is>
      </c>
      <c r="I115" s="8" t="inlineStr">
        <is>
          <t>25 кг</t>
        </is>
      </c>
      <c r="J115" s="8" t="inlineStr">
        <is>
          <t>Расход смеси при слое 1 мм
1,4-1,5 кг/м 2</t>
        </is>
      </c>
      <c r="K115" s="8" t="inlineStr"/>
      <c r="L115" s="8" t="inlineStr">
        <is>
          <t>https://osnovit.ru/catalog/bazovye-shtukaturnye-sostavy/osnovit-kaverpliks-pc117-w/</t>
        </is>
      </c>
    </row>
    <row r="116">
      <c r="A116" s="8" t="inlineStr">
        <is>
          <t>Основит</t>
        </is>
      </c>
      <c r="B116" s="8" t="inlineStr">
        <is>
          <t>product</t>
        </is>
      </c>
      <c r="C116" s="8" t="inlineStr">
        <is>
          <t>Смесь штукатурно-клеевая Основит Каверпликс TC115 25 кг</t>
        </is>
      </c>
      <c r="D116" s="8" t="inlineStr">
        <is>
          <t>Основит Каверпликс TC115</t>
        </is>
      </c>
      <c r="E116" s="8" t="inlineStr"/>
      <c r="F116" s="8" t="inlineStr">
        <is>
          <t>etics_adhesive_base</t>
        </is>
      </c>
      <c r="G116" s="8" t="inlineStr">
        <is>
          <t>yes</t>
        </is>
      </c>
      <c r="H116" s="8" t="inlineStr">
        <is>
          <t>Штукатурно-клеевая смесь Основит Каверпликс ТС115 предназначена для монтажа минераловатных плит, создания армированного базового штукатурного слоя.</t>
        </is>
      </c>
      <c r="I116" s="8" t="inlineStr">
        <is>
          <t>25 кг</t>
        </is>
      </c>
      <c r="J116" s="8" t="inlineStr">
        <is>
          <t>Расход смеси при слое 1 мм
1,3-1,5 кг/м²</t>
        </is>
      </c>
      <c r="K116" s="8" t="inlineStr"/>
      <c r="L116" s="8" t="inlineStr">
        <is>
          <t>https://osnovit.ru/catalog/smesi-dlya-teploizolyatsii/shtukaturno-kleevaya-smes-kaverpliks-ts115-/</t>
        </is>
      </c>
    </row>
    <row r="117">
      <c r="A117" s="8" t="inlineStr">
        <is>
          <t>Основит</t>
        </is>
      </c>
      <c r="B117" s="8" t="inlineStr">
        <is>
          <t>product</t>
        </is>
      </c>
      <c r="C117" s="8" t="inlineStr">
        <is>
          <t>Смесь штукатурно-клеевая зимняя Основит Каверпликс TC115 F 25 кг</t>
        </is>
      </c>
      <c r="D117" s="8" t="inlineStr">
        <is>
          <t>Основит Каверпликс TC115</t>
        </is>
      </c>
      <c r="E117" s="8" t="inlineStr">
        <is>
          <t>зима</t>
        </is>
      </c>
      <c r="F117" s="8" t="inlineStr">
        <is>
          <t>etics_adhesive_base</t>
        </is>
      </c>
      <c r="G117" s="8" t="inlineStr">
        <is>
          <t>yes</t>
        </is>
      </c>
      <c r="H117" s="8" t="inlineStr">
        <is>
          <t>Зимняя штукатурно-клеевая смесь Основит Каверпликс ТС115 F предназначена для монтажа минераловатных плит, создания армированного базового штукатурного слоя при низких температурах окружающего воздуха от -10°C до +10°C.</t>
        </is>
      </c>
      <c r="I117" s="8" t="inlineStr">
        <is>
          <t>25 кг</t>
        </is>
      </c>
      <c r="J117" s="8" t="inlineStr">
        <is>
          <t>Расход смеси при слое 1 мм
1,3-1,5 кг/м2</t>
        </is>
      </c>
      <c r="K117" s="8" t="inlineStr">
        <is>
          <t>Зима</t>
        </is>
      </c>
      <c r="L117" s="8" t="inlineStr">
        <is>
          <t>https://osnovit.ru/catalog/kleevye-sostavy/shtukaturno-kleevaya-smes-kaverpliks-ts115f/</t>
        </is>
      </c>
    </row>
    <row r="118">
      <c r="A118" s="8" t="inlineStr">
        <is>
          <t>Основит</t>
        </is>
      </c>
      <c r="B118" s="8" t="inlineStr">
        <is>
          <t>product</t>
        </is>
      </c>
      <c r="C118" s="8" t="inlineStr">
        <is>
          <t>Смесь штукатурно-клеевая Основит Каверпликс TC116 25 кг</t>
        </is>
      </c>
      <c r="D118" s="8" t="inlineStr">
        <is>
          <t>Основит Каверпликс TC116</t>
        </is>
      </c>
      <c r="E118" s="8" t="inlineStr"/>
      <c r="F118" s="8" t="inlineStr">
        <is>
          <t>etics_adhesive_base</t>
        </is>
      </c>
      <c r="G118" s="8" t="inlineStr">
        <is>
          <t>yes</t>
        </is>
      </c>
      <c r="H118" s="8" t="inlineStr">
        <is>
          <t>Штукатурно-клеевая смесь ОСНОВИТ КАВЕРПЛИКС ТС116 предназначена для монтажа пенополистирольных и минераловатных плит, создания армированного базового штукатурного слоя.</t>
        </is>
      </c>
      <c r="I118" s="8" t="inlineStr">
        <is>
          <t>25 кг</t>
        </is>
      </c>
      <c r="J118" s="8" t="inlineStr">
        <is>
          <t>Расход смеси при слое 1 мм
1,3-1,5 кг/м²</t>
        </is>
      </c>
      <c r="K118" s="8" t="inlineStr"/>
      <c r="L118" s="8" t="inlineStr">
        <is>
          <t>https://osnovit.ru/catalog/smesi-dlya-teploizolyatsii/kaverpliks-ts116-shtukaturno-kleevaya-smes-osnovit/</t>
        </is>
      </c>
    </row>
    <row r="119">
      <c r="A119" s="8" t="inlineStr">
        <is>
          <t>Основит</t>
        </is>
      </c>
      <c r="B119" s="8" t="inlineStr">
        <is>
          <t>product</t>
        </is>
      </c>
      <c r="C119" s="8" t="inlineStr">
        <is>
          <t>Смесь штукатурно-клеевая зимняя Основит Каверпликс TC116 F 25 кг</t>
        </is>
      </c>
      <c r="D119" s="8" t="inlineStr">
        <is>
          <t>Основит Каверпликс TC116</t>
        </is>
      </c>
      <c r="E119" s="8" t="inlineStr">
        <is>
          <t>зима</t>
        </is>
      </c>
      <c r="F119" s="8" t="inlineStr">
        <is>
          <t>etics_adhesive_base</t>
        </is>
      </c>
      <c r="G119" s="8" t="inlineStr">
        <is>
          <t>yes</t>
        </is>
      </c>
      <c r="H119" s="8" t="inlineStr">
        <is>
          <t>Зимняя штукатурно-клеевая смесь Основит Каверпликс ТС116 F предназначена для монтажа пенополистирольных и минераловатных плит, создания армированного базового штукатурного слоя при низких температурах окружающего воздуха от -10°C до +10°C.</t>
        </is>
      </c>
      <c r="I119" s="8" t="inlineStr">
        <is>
          <t>25 кг</t>
        </is>
      </c>
      <c r="J119" s="8" t="inlineStr">
        <is>
          <t>Расход смеси при слое 1 мм
1,3-1,5 кг/м2</t>
        </is>
      </c>
      <c r="K119" s="8" t="inlineStr">
        <is>
          <t>Зима</t>
        </is>
      </c>
      <c r="L119" s="8" t="inlineStr">
        <is>
          <t>https://osnovit.ru/catalog/smesi-dlya-teploizolyatsii/zimnyaya-shtukaturno-kleevaya-smes-osnovit-kaverpliks-tc116-f/</t>
        </is>
      </c>
    </row>
    <row r="120">
      <c r="A120" s="8" t="inlineStr">
        <is>
          <t>Основит</t>
        </is>
      </c>
      <c r="B120" s="8" t="inlineStr">
        <is>
          <t>product</t>
        </is>
      </c>
      <c r="C120" s="8" t="inlineStr">
        <is>
          <t>Смесь штукатурно-клеевая Основит Каверпликс TC117 25 кг</t>
        </is>
      </c>
      <c r="D120" s="8" t="inlineStr">
        <is>
          <t>Основит Каверпликс TC117</t>
        </is>
      </c>
      <c r="E120" s="8" t="inlineStr"/>
      <c r="F120" s="8" t="inlineStr">
        <is>
          <t>etics_adhesive_base</t>
        </is>
      </c>
      <c r="G120" s="8" t="inlineStr">
        <is>
          <t>yes</t>
        </is>
      </c>
      <c r="H120" s="8" t="inlineStr">
        <is>
          <t>Предназначен для монтажа пенополистирольных и минераловатных плит, создания армированного базового штукатурного слоя.</t>
        </is>
      </c>
      <c r="I120" s="8" t="inlineStr">
        <is>
          <t>25 кг</t>
        </is>
      </c>
      <c r="J120" s="8" t="inlineStr">
        <is>
          <t>Расход смеси при слое 1 мм
1,3-1,5 кг/м 2</t>
        </is>
      </c>
      <c r="K120" s="8" t="inlineStr"/>
      <c r="L120" s="8" t="inlineStr">
        <is>
          <t>https://osnovit.ru/catalog/bazovye-shtukaturnye-sostavy/kaverpliks-ts117/</t>
        </is>
      </c>
    </row>
    <row r="121">
      <c r="A121" s="8" t="inlineStr">
        <is>
          <t>Основит</t>
        </is>
      </c>
      <c r="B121" s="8" t="inlineStr">
        <is>
          <t>product</t>
        </is>
      </c>
      <c r="C121" s="8" t="inlineStr">
        <is>
          <t>Штукатурно-клеевая смесь ОСНОВИТ КАВЕРПЛИКС TC117 H</t>
        </is>
      </c>
      <c r="D121" s="8" t="inlineStr">
        <is>
          <t>Основит Каверпликс TC117</t>
        </is>
      </c>
      <c r="E121" s="8" t="inlineStr"/>
      <c r="F121" s="8" t="inlineStr">
        <is>
          <t>etics_adhesive_base</t>
        </is>
      </c>
      <c r="G121" s="8" t="inlineStr">
        <is>
          <t>yes</t>
        </is>
      </c>
      <c r="H121" s="8" t="inlineStr">
        <is>
          <t>Штукатурно-клеевая смесь ОСНОВИТ КАВЕРПЛИКС ТС117 предназначена для монтажа пенополистирольных и минераловатных плит, создания армированного базового штукатурного слоя.</t>
        </is>
      </c>
      <c r="I121" s="8" t="inlineStr">
        <is>
          <t>Вес упаковки
25 кг</t>
        </is>
      </c>
      <c r="J121" s="8" t="inlineStr">
        <is>
          <t>Расход смеси при слое 1 мм
1,3-1,5 кг/м 2</t>
        </is>
      </c>
      <c r="K121" s="8" t="inlineStr"/>
      <c r="L121" s="8" t="inlineStr">
        <is>
          <t>https://osnovit.ru/catalog/kleevye-sostavy/kaverpliks-ts117-N/</t>
        </is>
      </c>
    </row>
    <row r="122">
      <c r="A122" s="8" t="inlineStr">
        <is>
          <t>Основит</t>
        </is>
      </c>
      <c r="B122" s="8" t="inlineStr">
        <is>
          <t>product</t>
        </is>
      </c>
      <c r="C122" s="8" t="inlineStr">
        <is>
          <t>Смесь штукатурно-клеевая зимняя Основит Каверпликс TC117 F 25 кг</t>
        </is>
      </c>
      <c r="D122" s="8" t="inlineStr">
        <is>
          <t>Основит Каверпликс TC117</t>
        </is>
      </c>
      <c r="E122" s="8" t="inlineStr">
        <is>
          <t>зима</t>
        </is>
      </c>
      <c r="F122" s="8" t="inlineStr">
        <is>
          <t>etics_adhesive_base</t>
        </is>
      </c>
      <c r="G122" s="8" t="inlineStr">
        <is>
          <t>yes</t>
        </is>
      </c>
      <c r="H122" s="8" t="inlineStr">
        <is>
          <t>Штукатурно-клеевая смесь ОСНОВИТ КАВЕРПЛИКС ТС117 F предназначена для монтажа пенополистирольных и минераловатных плит, создания армированного базового штукатурного слоя при низких температурах окружающего воздуха от -10 до +10°C.</t>
        </is>
      </c>
      <c r="I122" s="8" t="inlineStr">
        <is>
          <t>25 кг</t>
        </is>
      </c>
      <c r="J122" s="8" t="inlineStr">
        <is>
          <t>Расход смеси при слое 1 мм
1,3-1,5 кг/м 2</t>
        </is>
      </c>
      <c r="K122" s="8" t="inlineStr">
        <is>
          <t>Зима</t>
        </is>
      </c>
      <c r="L122" s="8" t="inlineStr">
        <is>
          <t>https://osnovit.ru/catalog/kleevye-sostavy/shtukaturno-kleevaya-smes-osnovit-kaverpliks-tc117-f/</t>
        </is>
      </c>
    </row>
    <row r="123">
      <c r="A123" s="8" t="inlineStr">
        <is>
          <t>Основит</t>
        </is>
      </c>
      <c r="B123" s="8" t="inlineStr">
        <is>
          <t>product</t>
        </is>
      </c>
      <c r="C123" s="8" t="inlineStr">
        <is>
          <t>Смесь штукатурно-клеевая высокопрочная Основит Каверпликс TC117 H 25 кг</t>
        </is>
      </c>
      <c r="D123" s="8" t="inlineStr">
        <is>
          <t>Основит Каверпликс TC117 H</t>
        </is>
      </c>
      <c r="E123" s="8" t="inlineStr"/>
      <c r="F123" s="8" t="inlineStr">
        <is>
          <t>etics_adhesive_base</t>
        </is>
      </c>
      <c r="G123" s="8" t="inlineStr">
        <is>
          <t>yes</t>
        </is>
      </c>
      <c r="H123" s="8" t="inlineStr">
        <is>
          <t>Штукатурно-клеевая смесь Основит Каверпликс ТС117 H высокопрочная предназначена для создание армированного базового штукатурного слоя СФТК в вандалостойкой зоне (1,5 м от уровня цоколя, а также армированного слоя повышенного качества с ударостойкойкостью не менее 8 Дж (особенно для детских образовательных учреждений, объектов социального назначения и т.д.).</t>
        </is>
      </c>
      <c r="I123" s="8" t="inlineStr">
        <is>
          <t>25 кг</t>
        </is>
      </c>
      <c r="J123" s="8" t="inlineStr">
        <is>
          <t>Расход смеси при слое 1 мм, кг/м²
1,3-1,5</t>
        </is>
      </c>
      <c r="K123" s="8" t="inlineStr"/>
      <c r="L123" s="8" t="inlineStr">
        <is>
          <t>https://osnovit.ru/catalog/bazovye-shtukaturnye-sostavy/kaverpliks-ts117-h-shtukaturno-kleevaya-smes-osnovit/</t>
        </is>
      </c>
    </row>
    <row r="124">
      <c r="A124" s="8" t="inlineStr">
        <is>
          <t>Основит</t>
        </is>
      </c>
      <c r="B124" s="8" t="inlineStr">
        <is>
          <t>product_group_landing</t>
        </is>
      </c>
      <c r="C124" s="8" t="inlineStr">
        <is>
          <t>Клеи для плитки и камня Основит</t>
        </is>
      </c>
      <c r="D124" s="8" t="inlineStr">
        <is>
          <t>Основит Клеи для плитки и камня (раздел)</t>
        </is>
      </c>
      <c r="E124" s="8" t="inlineStr"/>
      <c r="F124" s="8" t="inlineStr">
        <is>
          <t>tile_adhesive</t>
        </is>
      </c>
      <c r="G124" s="8" t="inlineStr">
        <is>
          <t>yes</t>
        </is>
      </c>
      <c r="H124" s="8" t="inlineStr">
        <is>
          <t>Ассортимент включает специализированные смеси для разных типов плитки и условий эксплуатации: от стандартной керамики до крупноформатного керамогранита, мрамора, мозаики и натурального камня.</t>
        </is>
      </c>
      <c r="I124" s="8" t="inlineStr"/>
      <c r="J124" s="8" t="inlineStr"/>
      <c r="K124" s="8" t="inlineStr"/>
      <c r="L124" s="8" t="inlineStr">
        <is>
          <t>https://osnovit.ru/catalog/plitochnye-klei/</t>
        </is>
      </c>
    </row>
    <row r="125">
      <c r="A125" s="8" t="inlineStr">
        <is>
          <t>Основит</t>
        </is>
      </c>
      <c r="B125" s="8" t="inlineStr">
        <is>
          <t>product</t>
        </is>
      </c>
      <c r="C125" s="8" t="inlineStr">
        <is>
          <t>Пигмент-краситель желтый Основит Колорскрин AdP1 0,3 кг</t>
        </is>
      </c>
      <c r="D125" s="8" t="inlineStr">
        <is>
          <t>Основит Колорскрин AdP1</t>
        </is>
      </c>
      <c r="E125" s="8" t="inlineStr">
        <is>
          <t>жёлтый, 0,3 кг</t>
        </is>
      </c>
      <c r="F125" s="8" t="inlineStr">
        <is>
          <t>additive</t>
        </is>
      </c>
      <c r="G125" s="8" t="inlineStr">
        <is>
          <t>no</t>
        </is>
      </c>
      <c r="H125" s="8" t="inlineStr">
        <is>
          <t>Пигмент-краситель ОСНОВИТ КОЛОРСКРИН ADP1 предназначен для добавления в бетонные растворы, в цементные, гипсовые и известковые растворы для придания декоративного эффекта создаваемому покрытию.</t>
        </is>
      </c>
      <c r="I125" s="8" t="inlineStr">
        <is>
          <t>0,3 кг</t>
        </is>
      </c>
      <c r="J125" s="8" t="inlineStr">
        <is>
          <t>1 банка на 25 кг смеси</t>
        </is>
      </c>
      <c r="K125" s="8" t="inlineStr"/>
      <c r="L125" s="8" t="inlineStr">
        <is>
          <t>https://osnovit.ru/catalog/dobavki-v-rastvory/pigment-krasitel-osnovit-kolorskrin-adp1-zheltyy/</t>
        </is>
      </c>
    </row>
    <row r="126">
      <c r="A126" s="8" t="inlineStr">
        <is>
          <t>Основит</t>
        </is>
      </c>
      <c r="B126" s="8" t="inlineStr">
        <is>
          <t>product</t>
        </is>
      </c>
      <c r="C126" s="8" t="inlineStr">
        <is>
          <t>Пигмент-краситель коричневый Основит Колорскрин AdP1 0,3 кг</t>
        </is>
      </c>
      <c r="D126" s="8" t="inlineStr">
        <is>
          <t>Основит Колорскрин AdP1</t>
        </is>
      </c>
      <c r="E126" s="8" t="inlineStr">
        <is>
          <t>коричневый, 0,5 кг</t>
        </is>
      </c>
      <c r="F126" s="8" t="inlineStr">
        <is>
          <t>additive</t>
        </is>
      </c>
      <c r="G126" s="8" t="inlineStr">
        <is>
          <t>no</t>
        </is>
      </c>
      <c r="H126" s="8" t="inlineStr">
        <is>
          <t>Пигмент-краситель ОСНОВИТ КОЛОРСКРИН ADP1 предназначен для добавления в бетонные растворы, в цементные, гипсовые и известковые растворы для придания декоративного эффекта создаваемому покрытию.</t>
        </is>
      </c>
      <c r="I126" s="8" t="inlineStr">
        <is>
          <t>0,5 кг</t>
        </is>
      </c>
      <c r="J126" s="8" t="inlineStr">
        <is>
          <t>1 банка на 25 кг смеси</t>
        </is>
      </c>
      <c r="K126" s="8" t="inlineStr"/>
      <c r="L126" s="8" t="inlineStr">
        <is>
          <t>https://osnovit.ru/catalog/dobavki-v-rastvory/pigment-krasitel-osnovit-kolorskrin-adp1-korichnevyy/</t>
        </is>
      </c>
    </row>
    <row r="127">
      <c r="A127" s="8" t="inlineStr">
        <is>
          <t>Основит</t>
        </is>
      </c>
      <c r="B127" s="8" t="inlineStr">
        <is>
          <t>product</t>
        </is>
      </c>
      <c r="C127" s="8" t="inlineStr">
        <is>
          <t>Пигмент-краситель красный Основит Колорскрин AdP1 0,7 кг</t>
        </is>
      </c>
      <c r="D127" s="8" t="inlineStr">
        <is>
          <t>Основит Колорскрин AdP1</t>
        </is>
      </c>
      <c r="E127" s="8" t="inlineStr">
        <is>
          <t>красный, 0,7 кг</t>
        </is>
      </c>
      <c r="F127" s="8" t="inlineStr">
        <is>
          <t>additive</t>
        </is>
      </c>
      <c r="G127" s="8" t="inlineStr">
        <is>
          <t>no</t>
        </is>
      </c>
      <c r="H127" s="8" t="inlineStr">
        <is>
          <t>Пигмент-краситель ОСНОВИТ КОЛОРСКРИН ADP1 предназначен для добавления в бетонные растворы, в цементные, гипсовые и известковые растворы для придания декоративного эффекта создаваемому покрытию.</t>
        </is>
      </c>
      <c r="I127" s="8" t="inlineStr">
        <is>
          <t>0,7 кг</t>
        </is>
      </c>
      <c r="J127" s="8" t="inlineStr">
        <is>
          <t>1 банка на 25 кг смеси</t>
        </is>
      </c>
      <c r="K127" s="8" t="inlineStr"/>
      <c r="L127" s="8" t="inlineStr">
        <is>
          <t>https://osnovit.ru/catalog/dobavki-v-rastvory/pigment-krasitel-osnovit-kolorskrin-adp1-krasnyy/</t>
        </is>
      </c>
    </row>
    <row r="128">
      <c r="A128" s="8" t="inlineStr">
        <is>
          <t>Основит</t>
        </is>
      </c>
      <c r="B128" s="8" t="inlineStr">
        <is>
          <t>product</t>
        </is>
      </c>
      <c r="C128" s="8" t="inlineStr">
        <is>
          <t>Пигмент-краситель черный Основит Колорскрин AdP1 0,6 кг</t>
        </is>
      </c>
      <c r="D128" s="8" t="inlineStr">
        <is>
          <t>Основит Колорскрин AdP1</t>
        </is>
      </c>
      <c r="E128" s="8" t="inlineStr">
        <is>
          <t>чёрный, 0,6 кг</t>
        </is>
      </c>
      <c r="F128" s="8" t="inlineStr">
        <is>
          <t>additive</t>
        </is>
      </c>
      <c r="G128" s="8" t="inlineStr">
        <is>
          <t>no</t>
        </is>
      </c>
      <c r="H128" s="8" t="inlineStr">
        <is>
          <t>Пигмент-краситель ОСНОВИТ КОЛОРСКРИН ADP1 предназначен для добавления в бетонные растворы, в цементные, гипсовые и известковые растворы для придания декоративного эффекта создаваемому покрытию.</t>
        </is>
      </c>
      <c r="I128" s="8" t="inlineStr">
        <is>
          <t>0,6 кг</t>
        </is>
      </c>
      <c r="J128" s="8" t="inlineStr">
        <is>
          <t>1 банка на 25 кг смеси</t>
        </is>
      </c>
      <c r="K128" s="8" t="inlineStr"/>
      <c r="L128" s="8" t="inlineStr">
        <is>
          <t>https://osnovit.ru/catalog/dobavki-v-rastvory/pigment-krasitel-osnovit-kolorskrin-adp1-chernyy/</t>
        </is>
      </c>
    </row>
    <row r="129">
      <c r="A129" s="8" t="inlineStr">
        <is>
          <t>Основит</t>
        </is>
      </c>
      <c r="B129" s="8" t="inlineStr">
        <is>
          <t>product</t>
        </is>
      </c>
      <c r="C129" s="8" t="inlineStr">
        <is>
          <t>Клей плиточный высокопрочный Основит Максипликс AC15 [C2T] 25 кг</t>
        </is>
      </c>
      <c r="D129" s="8" t="inlineStr">
        <is>
          <t>Основит Максипликс AC15</t>
        </is>
      </c>
      <c r="E129" s="8" t="inlineStr"/>
      <c r="F129" s="8" t="inlineStr">
        <is>
          <t>tile_adhesive</t>
        </is>
      </c>
      <c r="G129" s="8" t="inlineStr">
        <is>
          <t>yes</t>
        </is>
      </c>
      <c r="H129" s="8" t="inlineStr">
        <is>
          <t>Плиточный клей Основит Максипликс AC15 предназначен для облицовки стен и пола крупноформатными плитами из мрамора и гранита, натуральным и искусственным камнем(клинкерная плитка), керамогранитом и керамической плиткой.</t>
        </is>
      </c>
      <c r="I129" s="8" t="inlineStr">
        <is>
          <t>25 кг</t>
        </is>
      </c>
      <c r="J129" s="8" t="inlineStr">
        <is>
          <t>1,3-1,4 кг/м 2</t>
        </is>
      </c>
      <c r="K129" s="8" t="inlineStr"/>
      <c r="L129" s="8" t="inlineStr">
        <is>
          <t>https://osnovit.ru/catalog/plitochnye-klei/maksipliks-ac151-s2t-kley-plitochnyy-oblitsovki-sten-pola-iskusstvennym-naturalnym-kamnem-keramogranitom/</t>
        </is>
      </c>
    </row>
    <row r="130">
      <c r="A130" s="8" t="inlineStr">
        <is>
          <t>Основит</t>
        </is>
      </c>
      <c r="B130" s="8" t="inlineStr">
        <is>
          <t>product</t>
        </is>
      </c>
      <c r="C130" s="8" t="inlineStr">
        <is>
          <t>Клей плиточный профессиональный Основит Максипликс AC16 [C2TE] 25 кг</t>
        </is>
      </c>
      <c r="D130" s="8" t="inlineStr">
        <is>
          <t>Основит Максипликс AC16</t>
        </is>
      </c>
      <c r="E130" s="8" t="inlineStr"/>
      <c r="F130" s="8" t="inlineStr">
        <is>
          <t>tile_adhesive</t>
        </is>
      </c>
      <c r="G130" s="8" t="inlineStr">
        <is>
          <t>yes</t>
        </is>
      </c>
      <c r="H130" s="8" t="inlineStr">
        <is>
          <t>Плиточный клей Основит Максипликс AC16 беспылевой предназначен для облицовки стен и пола крупноформатными плитами из мрамора и гранита, натуральным и искусственным камнем(клинкерная плитка), керамогранитом и керамической плиткой.</t>
        </is>
      </c>
      <c r="I130" s="8" t="inlineStr">
        <is>
          <t>25 кг</t>
        </is>
      </c>
      <c r="J130" s="8" t="inlineStr">
        <is>
          <t>1,2-1,4 кг/м²</t>
        </is>
      </c>
      <c r="K130" s="8" t="inlineStr"/>
      <c r="L130" s="8" t="inlineStr">
        <is>
          <t>https://osnovit.ru/catalog/plitochnye-klei/maksipliks-t-16/</t>
        </is>
      </c>
    </row>
    <row r="131">
      <c r="A131" s="8" t="inlineStr">
        <is>
          <t>Основит</t>
        </is>
      </c>
      <c r="B131" s="8" t="inlineStr">
        <is>
          <t>product</t>
        </is>
      </c>
      <c r="C131" s="8" t="inlineStr">
        <is>
          <t>Клей плиточный высокоэластичный Основит Максипликс AC161 Е 25 кг</t>
        </is>
      </c>
      <c r="D131" s="8" t="inlineStr">
        <is>
          <t>Основит Максипликс AC161 E</t>
        </is>
      </c>
      <c r="E131" s="8" t="inlineStr"/>
      <c r="F131" s="8" t="inlineStr">
        <is>
          <t>tile_adhesive</t>
        </is>
      </c>
      <c r="G131" s="8" t="inlineStr">
        <is>
          <t>yes</t>
        </is>
      </c>
      <c r="H131" s="8" t="inlineStr">
        <is>
          <t>высокоэластичный беспылевой предназначен для облицовки стен и пола керамической плиткой и керамогранитом, плитами из мрамора и гранита, натуральным и искусственным камнем(клинкерная плитка)</t>
        </is>
      </c>
      <c r="I131" s="8" t="inlineStr">
        <is>
          <t>25 кг</t>
        </is>
      </c>
      <c r="J131" s="8" t="inlineStr">
        <is>
          <t>1,2 кг/м²</t>
        </is>
      </c>
      <c r="K131" s="8" t="inlineStr"/>
      <c r="L131" s="8" t="inlineStr">
        <is>
          <t>https://osnovit.ru/catalog/plitochnye-klei/maksipliks-as16-e/</t>
        </is>
      </c>
    </row>
    <row r="132">
      <c r="A132" s="8" t="inlineStr">
        <is>
          <t>Основит</t>
        </is>
      </c>
      <c r="B132" s="8" t="inlineStr">
        <is>
          <t>product</t>
        </is>
      </c>
      <c r="C132" s="8" t="inlineStr">
        <is>
          <t>Клей плиточный легкий сверхэластичный беспылевой Основит Максипликс AC162 LE S2 [C2TE S2] 12,5 кг</t>
        </is>
      </c>
      <c r="D132" s="8" t="inlineStr">
        <is>
          <t>Основит Максипликс AC162 LE S2</t>
        </is>
      </c>
      <c r="E132" s="8" t="inlineStr"/>
      <c r="F132" s="8" t="inlineStr">
        <is>
          <t>tile_adhesive</t>
        </is>
      </c>
      <c r="G132" s="8" t="inlineStr">
        <is>
          <t>yes</t>
        </is>
      </c>
      <c r="H132" s="8" t="inlineStr">
        <is>
          <t>Клей Основит Максипликс АС162 LЕ S2 легкий сверхэластичный предназначен для облицовки стен и пола керамической плиткой и керамогранитом, плитами из мрамора и гранита, натуральным и искусственным камнем (клинкерная плитка).</t>
        </is>
      </c>
      <c r="I132" s="8" t="inlineStr">
        <is>
          <t>12,5 кг</t>
        </is>
      </c>
      <c r="J132" s="8" t="inlineStr">
        <is>
          <t>0,6 кг/м²</t>
        </is>
      </c>
      <c r="K132" s="8" t="inlineStr"/>
      <c r="L132" s="8" t="inlineStr">
        <is>
          <t>https://osnovit.ru/catalog/plitochnye-klei/maksipliks-as16-le-s2-sverkhelastichnyy-lyegkiy-kley-osnovit/</t>
        </is>
      </c>
    </row>
    <row r="133">
      <c r="A133" s="8" t="inlineStr">
        <is>
          <t>Основит</t>
        </is>
      </c>
      <c r="B133" s="8" t="inlineStr">
        <is>
          <t>product</t>
        </is>
      </c>
      <c r="C133" s="8" t="inlineStr">
        <is>
          <t>Клей плиточный белый Основит Максипликс AC17 W [C2TE] 25 кг</t>
        </is>
      </c>
      <c r="D133" s="8" t="inlineStr">
        <is>
          <t>Основит Максипликс AC17 W</t>
        </is>
      </c>
      <c r="E133" s="8" t="inlineStr"/>
      <c r="F133" s="8" t="inlineStr">
        <is>
          <t>tile_adhesive</t>
        </is>
      </c>
      <c r="G133" s="8" t="inlineStr">
        <is>
          <t>yes</t>
        </is>
      </c>
      <c r="H133" s="8" t="inlineStr">
        <is>
          <t>предназначен для облицовки плитами из мрамора, цветной и прозрачной стеклянной плиткой, декоративной мозаикой, стеклоблоками, гранитом, натуральным и искусственным камнем размером до 120х120 см (массой до 900 гр. на 100 см²) на стены и размером до 120*180 см (массой до 1000 гр. на 100 см²) на пол.</t>
        </is>
      </c>
      <c r="I133" s="8" t="inlineStr">
        <is>
          <t>25 кг</t>
        </is>
      </c>
      <c r="J133" s="8" t="inlineStr">
        <is>
          <t>1,2-1,4 кг/м²</t>
        </is>
      </c>
      <c r="K133" s="8" t="inlineStr"/>
      <c r="L133" s="8" t="inlineStr">
        <is>
          <t>https://osnovit.ru/catalog/plitochnye-klei/belpliks-t-17/</t>
        </is>
      </c>
    </row>
    <row r="134">
      <c r="A134" s="8" t="inlineStr">
        <is>
          <t>Основит</t>
        </is>
      </c>
      <c r="B134" s="8" t="inlineStr">
        <is>
          <t>product</t>
        </is>
      </c>
      <c r="C134" s="8" t="inlineStr">
        <is>
          <t>Клей плиточный высокоэластичный белый Основит Максипликс AC17 WE S1 [C2TE S1] 25 кг</t>
        </is>
      </c>
      <c r="D134" s="8" t="inlineStr">
        <is>
          <t>Основит Максипликс AC17 WE S1</t>
        </is>
      </c>
      <c r="E134" s="8" t="inlineStr"/>
      <c r="F134" s="8" t="inlineStr">
        <is>
          <t>tile_adhesive</t>
        </is>
      </c>
      <c r="G134" s="8" t="inlineStr">
        <is>
          <t>yes</t>
        </is>
      </c>
      <c r="H134" s="8" t="inlineStr">
        <is>
          <t>высокоэластичный предназначен для облицовки стен и пола плитами из мрамора, цветной и прозрачной стеклянной плиткой, декоративной мозаикой, стекло-блоками, гранитом, натуральным и искусственным камнем.</t>
        </is>
      </c>
      <c r="I134" s="8" t="inlineStr">
        <is>
          <t>25 кг</t>
        </is>
      </c>
      <c r="J134" s="8" t="inlineStr">
        <is>
          <t>1,1 кг/м²</t>
        </is>
      </c>
      <c r="K134" s="8" t="inlineStr"/>
      <c r="L134" s="8" t="inlineStr">
        <is>
          <t>https://osnovit.ru/catalog/plitochnye-klei/maksipliks-ac17-we-s1-sverkhelastichnyy-lyegkiy-kley-osnovit/</t>
        </is>
      </c>
    </row>
    <row r="135">
      <c r="A135" s="8" t="inlineStr">
        <is>
          <t>Основит</t>
        </is>
      </c>
      <c r="B135" s="8" t="inlineStr">
        <is>
          <t>product</t>
        </is>
      </c>
      <c r="C135" s="8" t="inlineStr">
        <is>
          <t>Клей плиточный легкий сверхэластичный белый Основит Максипликс AC172 LEW S2 [C2TE S2] 12,5 кг</t>
        </is>
      </c>
      <c r="D135" s="8" t="inlineStr">
        <is>
          <t>Основит Максипликс AC172 LEW S2</t>
        </is>
      </c>
      <c r="E135" s="8" t="inlineStr">
        <is>
          <t>белый</t>
        </is>
      </c>
      <c r="F135" s="8" t="inlineStr">
        <is>
          <t>tile_adhesive</t>
        </is>
      </c>
      <c r="G135" s="8" t="inlineStr">
        <is>
          <t>yes</t>
        </is>
      </c>
      <c r="H135" s="8" t="inlineStr">
        <is>
          <t>Клей Основит Максипликс АС17 LЕW S2 легкий сверхэластичный предназначен для облицовки стен и пола крупными и сверхкрупными плитами из мрамора, цветной и прозрачной стеклянной плиткой, декоративной мозаикой, стекло-блоками, гранитом, натуральным и искусственным камнем.</t>
        </is>
      </c>
      <c r="I135" s="8" t="inlineStr">
        <is>
          <t>12,5 кг</t>
        </is>
      </c>
      <c r="J135" s="8" t="inlineStr">
        <is>
          <t>0,6 кг/м²</t>
        </is>
      </c>
      <c r="K135" s="8" t="inlineStr"/>
      <c r="L135" s="8" t="inlineStr">
        <is>
          <t>https://osnovit.ru/catalog/plitochnye-klei/maksipliks-ac17-lew-s2-sverkhelastichnyy-lyegkiy-kley-osnovit/</t>
        </is>
      </c>
    </row>
    <row r="136">
      <c r="A136" s="8" t="inlineStr">
        <is>
          <t>Основит</t>
        </is>
      </c>
      <c r="B136" s="8" t="inlineStr">
        <is>
          <t>product</t>
        </is>
      </c>
      <c r="C136" s="8" t="inlineStr">
        <is>
          <t>Клей плиточный усиленный Основит Мастпликс AC12 H [C1T]</t>
        </is>
      </c>
      <c r="D136" s="8" t="inlineStr">
        <is>
          <t>Основит Мастпликс AC12 H</t>
        </is>
      </c>
      <c r="E136" s="8" t="inlineStr"/>
      <c r="F136" s="8" t="inlineStr">
        <is>
          <t>tile_adhesive</t>
        </is>
      </c>
      <c r="G136" s="8" t="inlineStr">
        <is>
          <t>yes</t>
        </is>
      </c>
      <c r="H136" s="8" t="inlineStr">
        <is>
          <t>Плиточный клей Основит Мастпликс AC12 H предназначен для облицовки стен и полов керамической плиткой, керамогранитом, натуральным и искусственным камнем весом до 600г/100см² внутри сухих и влажных жилых и административных помещений.</t>
        </is>
      </c>
      <c r="I136" s="8" t="inlineStr">
        <is>
          <t>5 кг, 25 кг</t>
        </is>
      </c>
      <c r="J136" s="8" t="inlineStr">
        <is>
          <t>1,3-1,5 кг/м 2</t>
        </is>
      </c>
      <c r="K136" s="8" t="inlineStr"/>
      <c r="L136" s="8" t="inlineStr">
        <is>
          <t>https://osnovit.ru/catalog/plitochnye-klei/mastpliks-as12-h-plitochnyy-kley-usilennyy-osnovit/</t>
        </is>
      </c>
    </row>
    <row r="137">
      <c r="A137" s="8" t="inlineStr">
        <is>
          <t>Основит</t>
        </is>
      </c>
      <c r="B137" s="8" t="inlineStr">
        <is>
          <t>product</t>
        </is>
      </c>
      <c r="C137" s="8" t="inlineStr">
        <is>
          <t>Мастпликс АС12 H клей усиленный С1Т для керамической плитки и керамогранита Основит</t>
        </is>
      </c>
      <c r="D137" s="8" t="inlineStr">
        <is>
          <t>Основит Мастпликс AC12 H</t>
        </is>
      </c>
      <c r="E137" s="8" t="inlineStr">
        <is>
          <t>версия «-N»: только для внутренних работ</t>
        </is>
      </c>
      <c r="F137" s="8" t="inlineStr">
        <is>
          <t>tile_adhesive</t>
        </is>
      </c>
      <c r="G137" s="8" t="inlineStr">
        <is>
          <t>yes</t>
        </is>
      </c>
      <c r="H137" s="8" t="inlineStr">
        <is>
          <t>Плиточный клей ОСНОВИТ МАСТПЛИКС АC12 H предназначен для облицовки стен и пола керамической плиткой, натуральным и искусственным камнем весом до 600г/100см² внутри сухих и влажных жилых и административных помещений.</t>
        </is>
      </c>
      <c r="I137" s="8" t="inlineStr"/>
      <c r="J137" s="8" t="inlineStr"/>
      <c r="K137" s="8" t="inlineStr"/>
      <c r="L137" s="8" t="inlineStr">
        <is>
          <t>https://osnovit.ru/catalog/plitochnye-klei/mastpliks-as12-h-N/</t>
        </is>
      </c>
    </row>
    <row r="138">
      <c r="A138" s="8" t="inlineStr">
        <is>
          <t>Основит</t>
        </is>
      </c>
      <c r="B138" s="8" t="inlineStr">
        <is>
          <t>product</t>
        </is>
      </c>
      <c r="C138" s="8" t="inlineStr">
        <is>
          <t>Клей плиточный выравнивающий Основит Мастпликс AC121 T [C1T] 25 кг</t>
        </is>
      </c>
      <c r="D138" s="8" t="inlineStr">
        <is>
          <t>Основит Мастпликс AC121 T</t>
        </is>
      </c>
      <c r="E138" s="8" t="inlineStr"/>
      <c r="F138" s="8" t="inlineStr">
        <is>
          <t>tile_adhesive</t>
        </is>
      </c>
      <c r="G138" s="8" t="inlineStr">
        <is>
          <t>yes</t>
        </is>
      </c>
      <c r="H138" s="8" t="inlineStr">
        <is>
          <t>Плиточный клей Основит Мастпликс AC121 T предназначен для облицовки без предварительного выравнивания стен и полов керамической плиткой, искусственным и натуральным камнем (вес до 600 г/100 см²).</t>
        </is>
      </c>
      <c r="I138" s="8" t="inlineStr">
        <is>
          <t>25 кг</t>
        </is>
      </c>
      <c r="J138" s="8" t="inlineStr"/>
      <c r="K138" s="8" t="inlineStr"/>
      <c r="L138" s="8" t="inlineStr">
        <is>
          <t>https://osnovit.ru/catalog/plitochnye-klei/mastpliks-ac12-t/</t>
        </is>
      </c>
    </row>
    <row r="139">
      <c r="A139" s="8" t="inlineStr">
        <is>
          <t>Основит</t>
        </is>
      </c>
      <c r="B139" s="8" t="inlineStr">
        <is>
          <t>product</t>
        </is>
      </c>
      <c r="C139" s="8" t="inlineStr">
        <is>
          <t>Клей плиточный беспылевой Основит Мастпликс AC13 [C1T] 25 кг</t>
        </is>
      </c>
      <c r="D139" s="8" t="inlineStr">
        <is>
          <t>Основит Мастпликс AC13</t>
        </is>
      </c>
      <c r="E139" s="8" t="inlineStr"/>
      <c r="F139" s="8" t="inlineStr">
        <is>
          <t>tile_adhesive</t>
        </is>
      </c>
      <c r="G139" s="8" t="inlineStr">
        <is>
          <t>yes</t>
        </is>
      </c>
      <c r="H139" s="8" t="inlineStr">
        <is>
          <t>предназначен для облицовки стен и полов керамической и клинкерной плиткой, керамогранитом, натуральным и искусственным камнем весом до 800 г/100 см².</t>
        </is>
      </c>
      <c r="I139" s="8" t="inlineStr">
        <is>
          <t>25 кг</t>
        </is>
      </c>
      <c r="J139" s="8" t="inlineStr">
        <is>
          <t>1,3-1,4 кг/м 2</t>
        </is>
      </c>
      <c r="K139" s="8" t="inlineStr"/>
      <c r="L139" s="8" t="inlineStr">
        <is>
          <t>https://osnovit.ru/catalog/plitochnye-klei/mastpliks-ac13-s1t-kley-plitochnyy-bespylevoy-keramogranita/</t>
        </is>
      </c>
    </row>
    <row r="140">
      <c r="A140" s="8" t="inlineStr">
        <is>
          <t>Основит</t>
        </is>
      </c>
      <c r="B140" s="8" t="inlineStr">
        <is>
          <t>product</t>
        </is>
      </c>
      <c r="C140" s="8" t="inlineStr">
        <is>
          <t>Пол наливной высокопрочный Основит Ниплайн FC42 H 25 кг</t>
        </is>
      </c>
      <c r="D140" s="8" t="inlineStr">
        <is>
          <t>Основит Ниплайн FC42 H</t>
        </is>
      </c>
      <c r="E140" s="8" t="inlineStr"/>
      <c r="F140" s="8" t="inlineStr">
        <is>
          <t>floor_self_leveling</t>
        </is>
      </c>
      <c r="G140" s="8" t="inlineStr">
        <is>
          <t>yes</t>
        </is>
      </c>
      <c r="H140" s="8" t="inlineStr">
        <is>
          <t>Наливной пол Основит Ниплайн FC42 H предназначен для окончательного выравнивания оснований слоем от 3 до 30 мм в жилых, офисных, торговых и общественных помещениях.</t>
        </is>
      </c>
      <c r="I140" s="8" t="inlineStr">
        <is>
          <t>Вес упаковки
25 кг</t>
        </is>
      </c>
      <c r="J140" s="8" t="inlineStr">
        <is>
          <t>Расход смеси при слое 10 мм
17 кг/м 2</t>
        </is>
      </c>
      <c r="K140" s="8" t="inlineStr"/>
      <c r="L140" s="8" t="inlineStr">
        <is>
          <t>https://osnovit.ru/catalog/nalivnye-poly/niplayn-fc42-h-nalivnoy-pol-vysokoprochnyy-osnovit-/</t>
        </is>
      </c>
    </row>
    <row r="141">
      <c r="A141" s="8" t="inlineStr">
        <is>
          <t>Основит</t>
        </is>
      </c>
      <c r="B141" s="8" t="inlineStr">
        <is>
          <t>product</t>
        </is>
      </c>
      <c r="C141" s="8" t="inlineStr">
        <is>
          <t>Ровнитель цементный высокопрочный Основит Ниплайн FC47 25 кг</t>
        </is>
      </c>
      <c r="D141" s="8" t="inlineStr">
        <is>
          <t>Основит Ниплайн FC47</t>
        </is>
      </c>
      <c r="E141" s="8" t="inlineStr"/>
      <c r="F141" s="8" t="inlineStr">
        <is>
          <t>floor_self_leveling</t>
        </is>
      </c>
      <c r="G141" s="8" t="inlineStr">
        <is>
          <t>yes</t>
        </is>
      </c>
      <c r="H141" s="8" t="inlineStr">
        <is>
          <t>Ровнитель высокопрочный Основит Ниплайн FC47 предназначен для выравнивания оснований (слоем от 5 до 50 мм) и устройства прочного пола в жилых, офисных, торговых и общественных помещениях.</t>
        </is>
      </c>
      <c r="I141" s="8" t="inlineStr">
        <is>
          <t>25 кг</t>
        </is>
      </c>
      <c r="J141" s="8" t="inlineStr">
        <is>
          <t>18 кг/м 2</t>
        </is>
      </c>
      <c r="K141" s="8" t="inlineStr"/>
      <c r="L141" s="8" t="inlineStr">
        <is>
          <t>https://osnovit.ru/catalog/rovniteli/niplayn-fc47/</t>
        </is>
      </c>
    </row>
    <row r="142">
      <c r="A142" s="8" t="inlineStr">
        <is>
          <t>Основит</t>
        </is>
      </c>
      <c r="B142" s="8" t="inlineStr">
        <is>
          <t>product</t>
        </is>
      </c>
      <c r="C142" s="8" t="inlineStr">
        <is>
          <t>Ровнитель универсальный Основит Ниплайн FK47 25 кг</t>
        </is>
      </c>
      <c r="D142" s="8" t="inlineStr">
        <is>
          <t>Основит Ниплайн FK47</t>
        </is>
      </c>
      <c r="E142" s="8" t="inlineStr"/>
      <c r="F142" s="8" t="inlineStr">
        <is>
          <t>floor_self_leveling</t>
        </is>
      </c>
      <c r="G142" s="8" t="inlineStr">
        <is>
          <t>yes</t>
        </is>
      </c>
      <c r="H142" s="8" t="inlineStr">
        <is>
          <t>Ровнитель универсальный ОСНОВИТ НИПЛАЙН FK47 предназначен для создания самонивелирующих выравнивающих стяжек (слоем от 5 до 80 мм) и устройства прочного пола в жилых, офисных, торговых и общественных помещениях.</t>
        </is>
      </c>
      <c r="I142" s="8" t="inlineStr">
        <is>
          <t>25 кг</t>
        </is>
      </c>
      <c r="J142" s="8" t="inlineStr">
        <is>
          <t>17 кг/м 2</t>
        </is>
      </c>
      <c r="K142" s="8" t="inlineStr"/>
      <c r="L142" s="8" t="inlineStr">
        <is>
          <t>https://osnovit.ru/catalog/rovniteli/niplayn-fk47-rovnitel-universalnyy-osnovit/</t>
        </is>
      </c>
    </row>
    <row r="143">
      <c r="A143" s="8" t="inlineStr">
        <is>
          <t>Основит</t>
        </is>
      </c>
      <c r="B143" s="8" t="inlineStr">
        <is>
          <t>duplicate_of_other</t>
        </is>
      </c>
      <c r="C143" s="8" t="inlineStr">
        <is>
          <t>Ровнитель универсальный ОСНОВИТ НИПЛАЙН FK47 (25 кг) Н</t>
        </is>
      </c>
      <c r="D143" s="8" t="inlineStr">
        <is>
          <t>Основит Ниплайн FK47</t>
        </is>
      </c>
      <c r="E143" s="8" t="inlineStr">
        <is>
          <t>версия «Н»</t>
        </is>
      </c>
      <c r="F143" s="8" t="inlineStr">
        <is>
          <t>floor_self_leveling</t>
        </is>
      </c>
      <c r="G143" s="8" t="inlineStr">
        <is>
          <t>yes</t>
        </is>
      </c>
      <c r="H143" s="8" t="inlineStr">
        <is>
          <t>Ровнитель универсальный ОСНОВИТ НИПЛАЙН FK47 предназначен для создания самонивелирующих выравнивающих стяжек (слоем от 5 до 80 мм) и устройства прочного пола в жилых, офисных, торговых и общественных помещениях.</t>
        </is>
      </c>
      <c r="I143" s="8" t="inlineStr">
        <is>
          <t>(25 кг)</t>
        </is>
      </c>
      <c r="J143" s="8" t="inlineStr">
        <is>
          <t>17 кг/м²</t>
        </is>
      </c>
      <c r="K143" s="8" t="inlineStr"/>
      <c r="L143" s="8" t="inlineStr">
        <is>
          <t>https://osnovit.ru/catalog/rovniteli/niplayn-fk47-rovnitel-universalnyy-osnovit-N/</t>
        </is>
      </c>
    </row>
    <row r="144">
      <c r="A144" s="8" t="inlineStr">
        <is>
          <t>Основит</t>
        </is>
      </c>
      <c r="B144" s="8" t="inlineStr">
        <is>
          <t>product</t>
        </is>
      </c>
      <c r="C144" s="8" t="inlineStr">
        <is>
          <t>Клей термостойкий Основит Печформ AC150</t>
        </is>
      </c>
      <c r="D144" s="8" t="inlineStr">
        <is>
          <t>Основит Печформ AC150</t>
        </is>
      </c>
      <c r="E144" s="8" t="inlineStr"/>
      <c r="F144" s="8" t="inlineStr">
        <is>
          <t>stove_mix</t>
        </is>
      </c>
      <c r="G144" s="8" t="inlineStr">
        <is>
          <t>yes</t>
        </is>
      </c>
      <c r="H144" s="8" t="inlineStr">
        <is>
          <t>Термостойкий беспылевой клей ПЕЧФОРМ AC150 предназначен для облицовки печей и каминов. Рекомендован для керамической, клинкерной, шамотной, метхлахской плитки, изразцов, натурального и искусственного камня.</t>
        </is>
      </c>
      <c r="I144" s="8" t="inlineStr">
        <is>
          <t>Вес упаковки
5 кг, 25 кг</t>
        </is>
      </c>
      <c r="J144" s="8" t="inlineStr"/>
      <c r="K144" s="8" t="inlineStr"/>
      <c r="L144" s="8" t="inlineStr">
        <is>
          <t>https://osnovit.ru/catalog/smesi-dlya-pechey-i-kaminov/pechform-ac150/</t>
        </is>
      </c>
    </row>
    <row r="145">
      <c r="A145" s="8" t="inlineStr">
        <is>
          <t>Основит</t>
        </is>
      </c>
      <c r="B145" s="8" t="inlineStr">
        <is>
          <t>product</t>
        </is>
      </c>
      <c r="C145" s="8" t="inlineStr">
        <is>
          <t>Клей термостойкий экспресс Основит Печформ AC400R 5 кг</t>
        </is>
      </c>
      <c r="D145" s="8" t="inlineStr">
        <is>
          <t>Основит Печформ AC400R</t>
        </is>
      </c>
      <c r="E145" s="8" t="inlineStr">
        <is>
          <t>5 кг</t>
        </is>
      </c>
      <c r="F145" s="8" t="inlineStr">
        <is>
          <t>stove_mix</t>
        </is>
      </c>
      <c r="G145" s="8" t="inlineStr">
        <is>
          <t>yes</t>
        </is>
      </c>
      <c r="H145" s="8" t="inlineStr">
        <is>
          <t>Термостойкий беспылевой клей ЭКСПРЕСС ПЕЧФОРМ AC400 R предназначен для ускоренной облицовки печей и каминов. Рекомендован для приклеивания отдельных декоративных элементов из керамической, клинкерной, шамотной, метхлахской плитки, изразцов, натурального и искусственного камня.</t>
        </is>
      </c>
      <c r="I145" s="8" t="inlineStr">
        <is>
          <t>на 1 мешок 5 кг</t>
        </is>
      </c>
      <c r="J145" s="8" t="inlineStr">
        <is>
          <t>Расход смеси, на 1 кв.м при слое 2 мм
2,5 кг</t>
        </is>
      </c>
      <c r="K145" s="8" t="inlineStr"/>
      <c r="L145" s="8" t="inlineStr">
        <is>
          <t>https://osnovit.ru/catalog/smesi-dlya-pechey-i-kaminov/pechform-ac400r/</t>
        </is>
      </c>
    </row>
    <row r="146">
      <c r="A146" s="8" t="inlineStr">
        <is>
          <t>Основит</t>
        </is>
      </c>
      <c r="B146" s="8" t="inlineStr">
        <is>
          <t>product</t>
        </is>
      </c>
      <c r="C146" s="8" t="inlineStr">
        <is>
          <t>Смесь огнеупорная керамическая Основит Печформ MF1300 20 кг</t>
        </is>
      </c>
      <c r="D146" s="8" t="inlineStr">
        <is>
          <t>Основит Печформ MF1300</t>
        </is>
      </c>
      <c r="E146" s="8" t="inlineStr"/>
      <c r="F146" s="8" t="inlineStr">
        <is>
          <t>stove_mix</t>
        </is>
      </c>
      <c r="G146" s="8" t="inlineStr">
        <is>
          <t>yes</t>
        </is>
      </c>
      <c r="H146" s="8" t="inlineStr">
        <is>
          <t>предназначена для фиксации шамотного кирпича и шамотных плит при создании топок бытовых дровяных печей и каминов.</t>
        </is>
      </c>
      <c r="I146" s="8" t="inlineStr">
        <is>
          <t>20 кг</t>
        </is>
      </c>
      <c r="J146" s="8" t="inlineStr">
        <is>
          <t>65 кирпичей</t>
        </is>
      </c>
      <c r="K146" s="8" t="inlineStr"/>
      <c r="L146" s="8" t="inlineStr">
        <is>
          <t>https://osnovit.ru/catalog/smesi-dlya-pechey-i-kaminov/pechform-mf1300/</t>
        </is>
      </c>
    </row>
    <row r="147">
      <c r="A147" s="8" t="inlineStr">
        <is>
          <t>Основит</t>
        </is>
      </c>
      <c r="B147" s="8" t="inlineStr">
        <is>
          <t>product</t>
        </is>
      </c>
      <c r="C147" s="8" t="inlineStr">
        <is>
          <t>Смесь печная Основит Печформ MF800 25 кг</t>
        </is>
      </c>
      <c r="D147" s="8" t="inlineStr">
        <is>
          <t>Основит Печформ MF800</t>
        </is>
      </c>
      <c r="E147" s="8" t="inlineStr"/>
      <c r="F147" s="8" t="inlineStr">
        <is>
          <t>stove_mix</t>
        </is>
      </c>
      <c r="G147" s="8" t="inlineStr">
        <is>
          <t>yes</t>
        </is>
      </c>
      <c r="H147" s="8" t="inlineStr">
        <is>
          <t>предназначена для создания внешнего контура печи, камина, дымоходов из керамического кирпича внутри помещений.</t>
        </is>
      </c>
      <c r="I147" s="8" t="inlineStr">
        <is>
          <t>25 кг</t>
        </is>
      </c>
      <c r="J147" s="8" t="inlineStr">
        <is>
          <t>70 кирпичей</t>
        </is>
      </c>
      <c r="K147" s="8" t="inlineStr"/>
      <c r="L147" s="8" t="inlineStr">
        <is>
          <t>https://osnovit.ru/catalog/smesi-dlya-pechey-i-kaminov/pechform-mf800/</t>
        </is>
      </c>
    </row>
    <row r="148">
      <c r="A148" s="8" t="inlineStr">
        <is>
          <t>Основит</t>
        </is>
      </c>
      <c r="B148" s="8" t="inlineStr">
        <is>
          <t>product</t>
        </is>
      </c>
      <c r="C148" s="8" t="inlineStr">
        <is>
          <t>Смесь огнеупорная силикатная Основит Печформ MSi1300 20 кг</t>
        </is>
      </c>
      <c r="D148" s="8" t="inlineStr">
        <is>
          <t>Основит Печформ MSi1300</t>
        </is>
      </c>
      <c r="E148" s="8" t="inlineStr"/>
      <c r="F148" s="8" t="inlineStr">
        <is>
          <t>stove_mix</t>
        </is>
      </c>
      <c r="G148" s="8" t="inlineStr">
        <is>
          <t>yes</t>
        </is>
      </c>
      <c r="H148" s="8" t="inlineStr">
        <is>
          <t>предназначена для фиксации шамотного кирпича и шамотных плит при создании топок бытовых дровяных печей и каминов.</t>
        </is>
      </c>
      <c r="I148" s="8" t="inlineStr">
        <is>
          <t>20 кг</t>
        </is>
      </c>
      <c r="J148" s="8" t="inlineStr">
        <is>
          <t>65 кирпичей</t>
        </is>
      </c>
      <c r="K148" s="8" t="inlineStr"/>
      <c r="L148" s="8" t="inlineStr">
        <is>
          <t>https://osnovit.ru/catalog/smesi-dlya-pechey-i-kaminov/pechform-msi1300/</t>
        </is>
      </c>
    </row>
    <row r="149">
      <c r="A149" s="8" t="inlineStr">
        <is>
          <t>Основит</t>
        </is>
      </c>
      <c r="B149" s="8" t="inlineStr">
        <is>
          <t>product</t>
        </is>
      </c>
      <c r="C149" s="8" t="inlineStr">
        <is>
          <t>Штукатурка термостойкая белая Основит Печформ PC400 W 20 кг</t>
        </is>
      </c>
      <c r="D149" s="8" t="inlineStr">
        <is>
          <t>Основит Печформ PC400 W</t>
        </is>
      </c>
      <c r="E149" s="8" t="inlineStr">
        <is>
          <t>20 кг</t>
        </is>
      </c>
      <c r="F149" s="8" t="inlineStr">
        <is>
          <t>stove_mix</t>
        </is>
      </c>
      <c r="G149" s="8" t="inlineStr">
        <is>
          <t>yes</t>
        </is>
      </c>
      <c r="H149" s="8" t="inlineStr">
        <is>
          <t>Термостойкая штукатурка ПЕЧФОРМ PC400 W предназначена для декоративной отделки печей и каминов.</t>
        </is>
      </c>
      <c r="I149" s="8" t="inlineStr">
        <is>
          <t>на 1 мешок 20 кг</t>
        </is>
      </c>
      <c r="J149" s="8" t="inlineStr">
        <is>
          <t>Расход смеси, при толщине слоя 10 мм
12-13 кг/кв.метр</t>
        </is>
      </c>
      <c r="K149" s="8" t="inlineStr"/>
      <c r="L149" s="8" t="inlineStr">
        <is>
          <t>https://osnovit.ru/catalog/smesi-dlya-pechey-i-kaminov/pechform-pc400-w/</t>
        </is>
      </c>
    </row>
    <row r="150">
      <c r="A150" s="8" t="inlineStr">
        <is>
          <t>Основит</t>
        </is>
      </c>
      <c r="B150" s="8" t="inlineStr">
        <is>
          <t>product</t>
        </is>
      </c>
      <c r="C150" s="8" t="inlineStr">
        <is>
          <t>Очиститель эпоксидных остатков Основит Плитсэйв SЕ1 500 мл</t>
        </is>
      </c>
      <c r="D150" s="8" t="inlineStr">
        <is>
          <t>Основит Плитсэйв SE1</t>
        </is>
      </c>
      <c r="E150" s="8" t="inlineStr">
        <is>
          <t>500 мл</t>
        </is>
      </c>
      <c r="F150" s="8" t="inlineStr">
        <is>
          <t>cleaning_care</t>
        </is>
      </c>
      <c r="G150" s="8" t="inlineStr">
        <is>
          <t>no</t>
        </is>
      </c>
      <c r="H150" s="8" t="inlineStr">
        <is>
          <t>Очиститель ОСНОВИТ ПЛИТСЭЙВ SЕ1 предназначен для эффективного очищения и удаления остатков, пятен и разводов эпоксидной затирки с облицованной поверхности без ее повреждения.</t>
        </is>
      </c>
      <c r="I150" s="8" t="inlineStr">
        <is>
          <t>500 мл</t>
        </is>
      </c>
      <c r="J150" s="8" t="inlineStr">
        <is>
          <t>от 75 мл/м²</t>
        </is>
      </c>
      <c r="K150" s="8" t="inlineStr"/>
      <c r="L150" s="8" t="inlineStr">
        <is>
          <t>https://osnovit.ru/catalog/epoksidnye-zatirki-i-materialy-dlya-ochistki-/ochistitel-epoksidnykh-ostatkov-osnovit-plitseyv-se1-/</t>
        </is>
      </c>
    </row>
    <row r="151">
      <c r="A151" s="8" t="inlineStr">
        <is>
          <t>Основит</t>
        </is>
      </c>
      <c r="B151" s="8" t="inlineStr">
        <is>
          <t>product</t>
        </is>
      </c>
      <c r="C151" s="8" t="inlineStr">
        <is>
          <t>Очиститель эпоксидных остатков концентрированный Основит Плитсэйв SЕ1 Р 500 мл</t>
        </is>
      </c>
      <c r="D151" s="8" t="inlineStr">
        <is>
          <t>Основит Плитсэйв SE1 P</t>
        </is>
      </c>
      <c r="E151" s="8" t="inlineStr">
        <is>
          <t>500 мл, концентрат</t>
        </is>
      </c>
      <c r="F151" s="8" t="inlineStr">
        <is>
          <t>cleaning_care</t>
        </is>
      </c>
      <c r="G151" s="8" t="inlineStr">
        <is>
          <t>no</t>
        </is>
      </c>
      <c r="H151" s="8" t="inlineStr">
        <is>
          <t>Очиститель ОСНОВИТ ПЛИТСЭЙВ SЕ1 P предназначен для эффективного очищения и удаления остатков, пятен и разводов эпоксидной затирки с облицованной поверхности без ее повреждения.</t>
        </is>
      </c>
      <c r="I151" s="8" t="inlineStr">
        <is>
          <t>500 мл</t>
        </is>
      </c>
      <c r="J151" s="8" t="inlineStr">
        <is>
          <t>от 75 мл/м²</t>
        </is>
      </c>
      <c r="K151" s="8" t="inlineStr"/>
      <c r="L151" s="8" t="inlineStr">
        <is>
          <t>https://osnovit.ru/catalog/epoksidnye-zatirki-i-materialy-dlya-ochistki-/kontsentrirovannyy-ochistitel-epoksidnykh-ostatkov-osnovit-plitseyv-se1-r-/</t>
        </is>
      </c>
    </row>
    <row r="152">
      <c r="A152" s="8" t="inlineStr">
        <is>
          <t>Основит</t>
        </is>
      </c>
      <c r="B152" s="8" t="inlineStr">
        <is>
          <t>product</t>
        </is>
      </c>
      <c r="C152" s="8" t="inlineStr">
        <is>
          <t>Затирка эпоксидная Основит Плитсэйв Ultra XE15 E</t>
        </is>
      </c>
      <c r="D152" s="8" t="inlineStr">
        <is>
          <t>Основит Плитсэйв Ultra XE15 E</t>
        </is>
      </c>
      <c r="E152" s="8" t="inlineStr">
        <is>
          <t>1 кг / 2,5 кг</t>
        </is>
      </c>
      <c r="F152" s="8" t="inlineStr">
        <is>
          <t>tile_grout_epoxy</t>
        </is>
      </c>
      <c r="G152" s="8" t="inlineStr">
        <is>
          <t>no</t>
        </is>
      </c>
      <c r="H152" s="8" t="inlineStr">
        <is>
          <t>Эпоксидная затирка ОСНОВИТ ПЛИТСЭЙВ ULTRA ХE15 Е предназначена для заполнения и защиты межплиточных швов шириной до 15 мм на полах и стенах в жилых, общественных и производственных помещениях, медицинских учреждениях и помещениях с высокой проходимостью.</t>
        </is>
      </c>
      <c r="I152" s="8" t="inlineStr">
        <is>
          <t>1 кг; 2,5 кг</t>
        </is>
      </c>
      <c r="J152" s="8" t="inlineStr"/>
      <c r="K152" s="8" t="inlineStr"/>
      <c r="L152" s="8" t="inlineStr">
        <is>
          <t>https://osnovit.ru/catalog/zatirki-i-rasshivki/zatirka-epoksidnaya-osnovit-plitseyv-ultra-xe15-e-1kg/</t>
        </is>
      </c>
    </row>
    <row r="153">
      <c r="A153" s="8" t="inlineStr">
        <is>
          <t>Основит</t>
        </is>
      </c>
      <c r="B153" s="8" t="inlineStr">
        <is>
          <t>product</t>
        </is>
      </c>
      <c r="C153" s="8" t="inlineStr">
        <is>
          <t>Затирка Основит Плитсэйв XC35 H для широких швов 20 кг</t>
        </is>
      </c>
      <c r="D153" s="8" t="inlineStr">
        <is>
          <t>Основит Плитсэйв XC35 H</t>
        </is>
      </c>
      <c r="E153" s="8" t="inlineStr">
        <is>
          <t>20 кг</t>
        </is>
      </c>
      <c r="F153" s="8" t="inlineStr">
        <is>
          <t>tile_grout</t>
        </is>
      </c>
      <c r="G153" s="8" t="inlineStr">
        <is>
          <t>yes</t>
        </is>
      </c>
      <c r="H153" s="8" t="inlineStr">
        <is>
          <t>Высокопрочная затирка ОСНОВИТ ПЛИТСЭЙВ XC35 Н предназначена для защиты и заполнения межплиточных швов шириной от 5 до 35 мм на вертикальных и горизонтальных основаниях.</t>
        </is>
      </c>
      <c r="I153" s="8" t="inlineStr">
        <is>
          <t>Вес упаковки
20 кг</t>
        </is>
      </c>
      <c r="J153" s="8" t="inlineStr"/>
      <c r="K153" s="8" t="inlineStr"/>
      <c r="L153" s="8" t="inlineStr">
        <is>
          <t>https://osnovit.ru/catalog/zatirka-shvov/osnovit-plitseyv-xc35-h-20-kg/</t>
        </is>
      </c>
    </row>
    <row r="154">
      <c r="A154" s="8" t="inlineStr">
        <is>
          <t>Основит</t>
        </is>
      </c>
      <c r="B154" s="8" t="inlineStr">
        <is>
          <t>product</t>
        </is>
      </c>
      <c r="C154" s="8" t="inlineStr">
        <is>
          <t>Затирка Основит Плитсэйв XC35 H для широких швов 5 кг</t>
        </is>
      </c>
      <c r="D154" s="8" t="inlineStr">
        <is>
          <t>Основит Плитсэйв XC35 H</t>
        </is>
      </c>
      <c r="E154" s="8" t="inlineStr">
        <is>
          <t>5 кг</t>
        </is>
      </c>
      <c r="F154" s="8" t="inlineStr">
        <is>
          <t>tile_grout</t>
        </is>
      </c>
      <c r="G154" s="8" t="inlineStr">
        <is>
          <t>yes</t>
        </is>
      </c>
      <c r="H154" s="8" t="inlineStr">
        <is>
          <t>Высокопрочная затирка ОСНОВИТ ПЛИТСЭЙВ XC35 Н предназначена для защиты и заполнения межплиточных швов шириной от 5 до 35 мм на вертикальных и горизонтальных основаниях.</t>
        </is>
      </c>
      <c r="I154" s="8" t="inlineStr">
        <is>
          <t>Вес упаковки
5 кг</t>
        </is>
      </c>
      <c r="J154" s="8" t="inlineStr"/>
      <c r="K154" s="8" t="inlineStr"/>
      <c r="L154" s="8" t="inlineStr">
        <is>
          <t>https://osnovit.ru/catalog/zatirka-shvov/osnovit-plitseyv-xc35-h-5-kg/</t>
        </is>
      </c>
    </row>
    <row r="155">
      <c r="A155" s="8" t="inlineStr">
        <is>
          <t>Основит</t>
        </is>
      </c>
      <c r="B155" s="8" t="inlineStr">
        <is>
          <t>product</t>
        </is>
      </c>
      <c r="C155" s="8" t="inlineStr">
        <is>
          <t>Затирка цементная Основит Плитсэйв XC5 1 кг</t>
        </is>
      </c>
      <c r="D155" s="8" t="inlineStr">
        <is>
          <t>Основит Плитсэйв XC5</t>
        </is>
      </c>
      <c r="E155" s="8" t="inlineStr">
        <is>
          <t>1 кг</t>
        </is>
      </c>
      <c r="F155" s="8" t="inlineStr">
        <is>
          <t>tile_grout</t>
        </is>
      </c>
      <c r="G155" s="8" t="inlineStr">
        <is>
          <t>yes</t>
        </is>
      </c>
      <c r="H155" s="8" t="inlineStr">
        <is>
          <t>Цементная затирка Основит Плитсэйв XC5 предназначена для заполнения и защиты межплиточных швов от 1 до 6 мм на полах и стенах в жилых и общественных помещениях.</t>
        </is>
      </c>
      <c r="I155" s="8" t="inlineStr">
        <is>
          <t>Вес упаковки
1кг</t>
        </is>
      </c>
      <c r="J155" s="8" t="inlineStr"/>
      <c r="K155" s="8" t="inlineStr">
        <is>
          <t>Новинка</t>
        </is>
      </c>
      <c r="L155" s="8" t="inlineStr">
        <is>
          <t>https://osnovit.ru/catalog/zatirki-i-rasshivki/tsementnaya-zatirka-osnovit-plitseyv-xc5/</t>
        </is>
      </c>
    </row>
    <row r="156">
      <c r="A156" s="8" t="inlineStr">
        <is>
          <t>Основит</t>
        </is>
      </c>
      <c r="B156" s="8" t="inlineStr">
        <is>
          <t>product</t>
        </is>
      </c>
      <c r="C156" s="8" t="inlineStr">
        <is>
          <t>Затирка эластичная цветная Основит Плитсэйв XC6 E 2 кг</t>
        </is>
      </c>
      <c r="D156" s="8" t="inlineStr">
        <is>
          <t>Основит Плитсэйв XC6 E</t>
        </is>
      </c>
      <c r="E156" s="8" t="inlineStr">
        <is>
          <t>2 кг</t>
        </is>
      </c>
      <c r="F156" s="8" t="inlineStr">
        <is>
          <t>tile_grout</t>
        </is>
      </c>
      <c r="G156" s="8" t="inlineStr">
        <is>
          <t>yes</t>
        </is>
      </c>
      <c r="H156" s="8" t="inlineStr">
        <is>
          <t>Эластичная затирка ОСНОВИТ ПЛИТСЭЙВ ХС6 Е предназначена для заполнения и защиты межплиточных швов шириной до 10 мм на полах и стенах в жилых и общественных помещениях.</t>
        </is>
      </c>
      <c r="I156" s="8" t="inlineStr">
        <is>
          <t>Вес упаковки
2 кг</t>
        </is>
      </c>
      <c r="J156" s="8" t="inlineStr"/>
      <c r="K156" s="8" t="inlineStr"/>
      <c r="L156" s="8" t="inlineStr">
        <is>
          <t>https://osnovit.ru/catalog/zatirka-shvov/plitseyv-khs6-e/</t>
        </is>
      </c>
    </row>
    <row r="157">
      <c r="A157" s="8" t="inlineStr">
        <is>
          <t>Основит</t>
        </is>
      </c>
      <c r="B157" s="8" t="inlineStr">
        <is>
          <t>product</t>
        </is>
      </c>
      <c r="C157" s="8" t="inlineStr">
        <is>
          <t>Затирка эластичная цветная Основит Плитсэйв XC6 E 20 кг</t>
        </is>
      </c>
      <c r="D157" s="8" t="inlineStr">
        <is>
          <t>Основит Плитсэйв XC6 E</t>
        </is>
      </c>
      <c r="E157" s="8" t="inlineStr">
        <is>
          <t>20 кг</t>
        </is>
      </c>
      <c r="F157" s="8" t="inlineStr">
        <is>
          <t>tile_grout</t>
        </is>
      </c>
      <c r="G157" s="8" t="inlineStr">
        <is>
          <t>yes</t>
        </is>
      </c>
      <c r="H157" s="8" t="inlineStr">
        <is>
          <t>Затирка ОСНОВИТ ПЛИТСЭЙВ XC6 E предназначена для защиты и заполнения межплиточных швов на полах и стенах в жилых и общественных помещениях.</t>
        </is>
      </c>
      <c r="I157" s="8" t="inlineStr">
        <is>
          <t>Вес упаковки
20 кг</t>
        </is>
      </c>
      <c r="J157" s="8" t="inlineStr"/>
      <c r="K157" s="8" t="inlineStr"/>
      <c r="L157" s="8" t="inlineStr">
        <is>
          <t>https://osnovit.ru/catalog/zatirka-shvov/plitseyv-t-121/</t>
        </is>
      </c>
    </row>
    <row r="158">
      <c r="A158" s="8" t="inlineStr">
        <is>
          <t>Основит</t>
        </is>
      </c>
      <c r="B158" s="8" t="inlineStr">
        <is>
          <t>product</t>
        </is>
      </c>
      <c r="C158" s="8" t="inlineStr">
        <is>
          <t>Добавка металлизированная для эпоксидной затирки Основит Плитсэйв XE1 130 г</t>
        </is>
      </c>
      <c r="D158" s="8" t="inlineStr">
        <is>
          <t>Основит Плитсэйв XE1</t>
        </is>
      </c>
      <c r="E158" s="8" t="inlineStr">
        <is>
          <t>130 г</t>
        </is>
      </c>
      <c r="F158" s="8" t="inlineStr">
        <is>
          <t>additive</t>
        </is>
      </c>
      <c r="G158" s="8" t="inlineStr">
        <is>
          <t>no</t>
        </is>
      </c>
      <c r="H158" s="8" t="inlineStr">
        <is>
          <t>Металлизированная добавка ОСНОВИТ ПЛИТСЭЙВ XE1 применяется для получения новых цветов эпоксидной затирки, а также усиленных светоотражающих эффектов. Рекомендуется использовать с эпоксидной затиркой ОСНОВИТ ПЛИТСЭЙВ XE15 E хамелеон 014.</t>
        </is>
      </c>
      <c r="I158" s="8" t="inlineStr">
        <is>
          <t>130 г</t>
        </is>
      </c>
      <c r="J158" s="8" t="inlineStr"/>
      <c r="K158" s="8" t="inlineStr"/>
      <c r="L158" s="8" t="inlineStr">
        <is>
          <t>https://osnovit.ru/catalog/zatirki-i-rasshivki/metallizirovannaya-dobavka-dlya-epoksidnoy-zatirki-osnovit-plitseyv-xe1-/</t>
        </is>
      </c>
    </row>
    <row r="159">
      <c r="A159" s="8" t="inlineStr">
        <is>
          <t>Основит</t>
        </is>
      </c>
      <c r="B159" s="8" t="inlineStr">
        <is>
          <t>product</t>
        </is>
      </c>
      <c r="C159" s="8" t="inlineStr">
        <is>
          <t>Затирка эпоксидная Основит Плитсэйв XE15 E</t>
        </is>
      </c>
      <c r="D159" s="8" t="inlineStr">
        <is>
          <t>Основит Плитсэйв XE15 E</t>
        </is>
      </c>
      <c r="E159" s="8" t="inlineStr">
        <is>
          <t>1 кг / 2 кг / 5 кг</t>
        </is>
      </c>
      <c r="F159" s="8" t="inlineStr">
        <is>
          <t>tile_grout_epoxy</t>
        </is>
      </c>
      <c r="G159" s="8" t="inlineStr">
        <is>
          <t>no</t>
        </is>
      </c>
      <c r="H159" s="8" t="inlineStr">
        <is>
          <t>Применяется для заполнения швов всех типов стеклянной плитки и мозаики, для керамической плитки, керамогранита, натурального и искусственного камня (в т.ч. клинкерной плитки), стеклянных блоков.</t>
        </is>
      </c>
      <c r="I159" s="8" t="inlineStr">
        <is>
          <t>1 кг, 2 кг, 5 кг</t>
        </is>
      </c>
      <c r="J159" s="8" t="inlineStr"/>
      <c r="K159" s="8" t="inlineStr"/>
      <c r="L159" s="8" t="inlineStr">
        <is>
          <t>https://osnovit.ru/catalog/zatirki-i-rasshivki/zatirka-elastichnaya-osnovit-plitseyv-xe15-e/</t>
        </is>
      </c>
    </row>
    <row r="160">
      <c r="A160" s="8" t="inlineStr">
        <is>
          <t>Основит</t>
        </is>
      </c>
      <c r="B160" s="8" t="inlineStr">
        <is>
          <t>product</t>
        </is>
      </c>
      <c r="C160" s="8" t="inlineStr">
        <is>
          <t>Герметик санитарный силиконовый ПЛИТСЭЙВ</t>
        </is>
      </c>
      <c r="D160" s="8" t="inlineStr">
        <is>
          <t>Основит Плитсэйв XSL15</t>
        </is>
      </c>
      <c r="E160" s="8" t="inlineStr"/>
      <c r="F160" s="8" t="inlineStr">
        <is>
          <t>sealant</t>
        </is>
      </c>
      <c r="G160" s="8" t="inlineStr">
        <is>
          <t>no</t>
        </is>
      </c>
      <c r="H160" s="8" t="inlineStr">
        <is>
          <t>предназначен для герметизации швов и стыков плиточных облицовок всех видов в ванных комнатах, душевых кабинках, бассейнах, санузлах, кухнях и других помещениях, эксплуатируемых во влажной среде.</t>
        </is>
      </c>
      <c r="I160" s="8" t="inlineStr">
        <is>
          <t>280 мл</t>
        </is>
      </c>
      <c r="J160" s="8" t="inlineStr">
        <is>
          <t>~5,5 мл</t>
        </is>
      </c>
      <c r="K160" s="8" t="inlineStr">
        <is>
          <t>Новинка</t>
        </is>
      </c>
      <c r="L160" s="8" t="inlineStr">
        <is>
          <t>https://osnovit.ru/catalog/germetiki/germetik-sanitarnyy-silikonovyy-plitseyv/</t>
        </is>
      </c>
    </row>
    <row r="161">
      <c r="A161" s="8" t="inlineStr">
        <is>
          <t>Основит</t>
        </is>
      </c>
      <c r="B161" s="8" t="inlineStr">
        <is>
          <t>product</t>
        </is>
      </c>
      <c r="C161" s="8" t="inlineStr">
        <is>
          <t>Эпоксидная затирка-клей ОСНОВИТ ПЛИТСЭЙВ ШОВГАРД XE20 H</t>
        </is>
      </c>
      <c r="D161" s="8" t="inlineStr">
        <is>
          <t>Основит Плитсэйв Шовгард XE20 H</t>
        </is>
      </c>
      <c r="E161" s="8" t="inlineStr"/>
      <c r="F161" s="8" t="inlineStr">
        <is>
          <t>tile_grout_epoxy</t>
        </is>
      </c>
      <c r="G161" s="8" t="inlineStr">
        <is>
          <t>no</t>
        </is>
      </c>
      <c r="H161" s="8" t="inlineStr">
        <is>
          <t>предназначена для заполнения и защиты межплиточных швов шириной до 20 мм на полах и стенах в жилых, общественных и производственных помещениях, медицинских учреждениях и помещениях с высокой проходимостью.</t>
        </is>
      </c>
      <c r="I161" s="8" t="inlineStr">
        <is>
          <t>2 кг</t>
        </is>
      </c>
      <c r="J161" s="8" t="inlineStr"/>
      <c r="K161" s="8" t="inlineStr">
        <is>
          <t>Новинка</t>
        </is>
      </c>
      <c r="L161" s="8" t="inlineStr">
        <is>
          <t>https://osnovit.ru/catalog/zatirki-i-rasshivki/epoksidnaya-zatirka-kley-osnovit-plitseyv-power-xe20-h/</t>
        </is>
      </c>
    </row>
    <row r="162">
      <c r="A162" s="8" t="inlineStr">
        <is>
          <t>Основит</t>
        </is>
      </c>
      <c r="B162" s="8" t="inlineStr">
        <is>
          <t>product</t>
        </is>
      </c>
      <c r="C162" s="8" t="inlineStr">
        <is>
          <t>Губка для очистки эпоксидных остатков Основит Плитсэйв</t>
        </is>
      </c>
      <c r="D162" s="8" t="inlineStr">
        <is>
          <t>Основит Плитсэйв губка для эпоксидных остатков</t>
        </is>
      </c>
      <c r="E162" s="8" t="inlineStr"/>
      <c r="F162" s="8" t="inlineStr">
        <is>
          <t>cleaning_care</t>
        </is>
      </c>
      <c r="G162" s="8" t="inlineStr">
        <is>
          <t>no</t>
        </is>
      </c>
      <c r="H162" s="8" t="inlineStr">
        <is>
          <t>Губка ОСНОВИТ ПЛИТСЭЙВ предназначена для очистки поверхности от остатков эпоксидной затирки.</t>
        </is>
      </c>
      <c r="I162" s="8" t="inlineStr"/>
      <c r="J162" s="8" t="inlineStr">
        <is>
          <t>Расход, м²
10</t>
        </is>
      </c>
      <c r="K162" s="8" t="inlineStr"/>
      <c r="L162" s="8" t="inlineStr">
        <is>
          <t>https://osnovit.ru/catalog/epoksidnye-zatirki-i-materialy-dlya-ochistki-/gubka-dlya-ochistki-epoksidnykh-ostatkov-osnovit-plitseyv/</t>
        </is>
      </c>
    </row>
    <row r="163">
      <c r="A163" s="8" t="inlineStr">
        <is>
          <t>Основит</t>
        </is>
      </c>
      <c r="B163" s="8" t="inlineStr">
        <is>
          <t>product</t>
        </is>
      </c>
      <c r="C163" s="8" t="inlineStr">
        <is>
          <t>Грунт-концентрат глубокого проникновения Основит Профиконт LP52 1 л</t>
        </is>
      </c>
      <c r="D163" s="8" t="inlineStr">
        <is>
          <t>Основит Профиконт LP52</t>
        </is>
      </c>
      <c r="E163" s="8" t="inlineStr">
        <is>
          <t>1 л</t>
        </is>
      </c>
      <c r="F163" s="8" t="inlineStr">
        <is>
          <t>primer</t>
        </is>
      </c>
      <c r="G163" s="8" t="inlineStr">
        <is>
          <t>no</t>
        </is>
      </c>
      <c r="H163" s="8" t="inlineStr">
        <is>
          <t>Грунт-концентрат глубокого проникновения ОСНОВИТ ПРОФИКОНТ LP52 предназначен для предварительной обработки и обеспыливания минеральных оснований. Применяется для подготовки поверхности под последующее нанесение отделочных материалов: штукатурок, шпаклёвок, стяжек, ровнителей, наливных полов, плиточных клеёв, гидроизоляции, лакокрасочных материалов.</t>
        </is>
      </c>
      <c r="I163" s="8" t="inlineStr">
        <is>
          <t>1 л</t>
        </is>
      </c>
      <c r="J163" s="8" t="inlineStr">
        <is>
          <t>в зависимости от степени разбавления, до 50 м 2 /л</t>
        </is>
      </c>
      <c r="K163" s="8" t="inlineStr"/>
      <c r="L163" s="8" t="inlineStr">
        <is>
          <t>https://osnovit.ru/catalog/gruntovki/grunt-kontsentrat-osnovit-profikont-lp52-1-l/</t>
        </is>
      </c>
    </row>
    <row r="164">
      <c r="A164" s="8" t="inlineStr">
        <is>
          <t>Основит</t>
        </is>
      </c>
      <c r="B164" s="8" t="inlineStr">
        <is>
          <t>product</t>
        </is>
      </c>
      <c r="C164" s="8" t="inlineStr">
        <is>
          <t>Грунт-концентрат глубокого проникновения Основит Профиконт LP52 10 л</t>
        </is>
      </c>
      <c r="D164" s="8" t="inlineStr">
        <is>
          <t>Основит Профиконт LP52</t>
        </is>
      </c>
      <c r="E164" s="8" t="inlineStr">
        <is>
          <t>10 л</t>
        </is>
      </c>
      <c r="F164" s="8" t="inlineStr">
        <is>
          <t>primer</t>
        </is>
      </c>
      <c r="G164" s="8" t="inlineStr">
        <is>
          <t>no</t>
        </is>
      </c>
      <c r="H164" s="8" t="inlineStr">
        <is>
          <t>Грунт-концентрат глубокого проникновения ОСНОВИТ ПРОФИКОНТ LP52 предназначен для предварительной обработки и обеспыливания минеральных оснований. Применяется для подготовки поверхности под последующее нанесение отделочных материалов: штукатурок, шпаклёвок, стяжек, ровнителей, наливных полов, плиточных клеёв, гидроизоляции, лакокрасочных материалов.</t>
        </is>
      </c>
      <c r="I164" s="8" t="inlineStr">
        <is>
          <t>10 л</t>
        </is>
      </c>
      <c r="J164" s="8" t="inlineStr">
        <is>
          <t>в зависимости от степени разбавления, до 50 м 2 /л</t>
        </is>
      </c>
      <c r="K164" s="8" t="inlineStr"/>
      <c r="L164" s="8" t="inlineStr">
        <is>
          <t>https://osnovit.ru/catalog/gruntovki/profikont-t-52/</t>
        </is>
      </c>
    </row>
    <row r="165">
      <c r="A165" s="8" t="inlineStr">
        <is>
          <t>Основит</t>
        </is>
      </c>
      <c r="B165" s="8" t="inlineStr">
        <is>
          <t>product</t>
        </is>
      </c>
      <c r="C165" s="8" t="inlineStr">
        <is>
          <t>Раствор кладочный теплоизоляционный Основит Путформ MC114 20 кг</t>
        </is>
      </c>
      <c r="D165" s="8" t="inlineStr">
        <is>
          <t>Основит Путформ MC114</t>
        </is>
      </c>
      <c r="E165" s="8" t="inlineStr"/>
      <c r="F165" s="8" t="inlineStr">
        <is>
          <t>masonry_thermal</t>
        </is>
      </c>
      <c r="G165" s="8" t="inlineStr">
        <is>
          <t>yes</t>
        </is>
      </c>
      <c r="H165" s="8" t="inlineStr">
        <is>
          <t>Теплоизоляционный кладочный раствор ОСНОВИТ ПУТФОРМ МС114 предназначен для кладки стен из лёгких пустотелых керамических блоков, блоков из бетона на пористых заполнителях.</t>
        </is>
      </c>
      <c r="I165" s="8" t="inlineStr"/>
      <c r="J165" s="8" t="inlineStr">
        <is>
          <t>Размер блока
Расход смеси
(готовый р-р), л
Расход смеси
(сухая смесь), кг
510x250x219
2,3
2,0
440x250x219
2,2
1,9
380x250x219
1,95
1,7</t>
        </is>
      </c>
      <c r="K165" s="8" t="inlineStr"/>
      <c r="L165" s="8" t="inlineStr">
        <is>
          <t>https://osnovit.ru/catalog/kladochnye-rastvory/putform-mc114-teploizolyatsionnyy-kladochnyy-rastvor-osnovit-/</t>
        </is>
      </c>
    </row>
    <row r="166">
      <c r="A166" s="8" t="inlineStr">
        <is>
          <t>Основит</t>
        </is>
      </c>
      <c r="B166" s="8" t="inlineStr">
        <is>
          <t>product</t>
        </is>
      </c>
      <c r="C166" s="8" t="inlineStr">
        <is>
          <t>Раствор кладочный теплоизоляционный Основит Путформ MC114 16 кг</t>
        </is>
      </c>
      <c r="D166" s="8" t="inlineStr">
        <is>
          <t>Основит Путформ MC114</t>
        </is>
      </c>
      <c r="E166" s="8" t="inlineStr">
        <is>
          <t>16 кг</t>
        </is>
      </c>
      <c r="F166" s="8" t="inlineStr">
        <is>
          <t>masonry_thermal</t>
        </is>
      </c>
      <c r="G166" s="8" t="inlineStr">
        <is>
          <t>yes</t>
        </is>
      </c>
      <c r="H166" s="8" t="inlineStr">
        <is>
          <t>Теплоизоляционный кладочный раствор ОСНОВИТ ПУТФОРМ МС114 предназначен для кладки стен из лёгких пустотелых керамических блоков, блоков из бетона на пористых заполнителях.</t>
        </is>
      </c>
      <c r="I166" s="8" t="inlineStr">
        <is>
          <t>Путформ MC114 16 кг</t>
        </is>
      </c>
      <c r="J166" s="8" t="inlineStr"/>
      <c r="K166" s="8" t="inlineStr"/>
      <c r="L166" s="8" t="inlineStr">
        <is>
          <t>https://osnovit.ru/catalog/teploizolyatsionnye-kladochnye-rastvory/putform-mc114-16kg-N/</t>
        </is>
      </c>
    </row>
    <row r="167">
      <c r="A167" s="8" t="inlineStr">
        <is>
          <t>Основит</t>
        </is>
      </c>
      <c r="B167" s="8" t="inlineStr">
        <is>
          <t>product</t>
        </is>
      </c>
      <c r="C167" s="8" t="inlineStr">
        <is>
          <t>Раствор кладочный теплоизоляционный Основит Путформ MC114 20 кг</t>
        </is>
      </c>
      <c r="D167" s="8" t="inlineStr">
        <is>
          <t>Основит Путформ MC114</t>
        </is>
      </c>
      <c r="E167" s="8" t="inlineStr">
        <is>
          <t>20 кг</t>
        </is>
      </c>
      <c r="F167" s="8" t="inlineStr">
        <is>
          <t>masonry_thermal</t>
        </is>
      </c>
      <c r="G167" s="8" t="inlineStr">
        <is>
          <t>yes</t>
        </is>
      </c>
      <c r="H167" s="8" t="inlineStr">
        <is>
          <t>Теплоизоляционный кладочный раствор ОСНОВИТ ПУТФОРМ МС114 предназначен для кладки стен из лёгких пустотелых керамических блоков, блоков из бетона на пористых заполнителях.</t>
        </is>
      </c>
      <c r="I167" s="8" t="inlineStr">
        <is>
          <t>Путформ MC114 20 кг</t>
        </is>
      </c>
      <c r="J167" s="8" t="inlineStr"/>
      <c r="K167" s="8" t="inlineStr"/>
      <c r="L167" s="8" t="inlineStr">
        <is>
          <t>https://osnovit.ru/catalog/teploizolyatsionnye-kladochnye-rastvory/putform-mc114-teploizolyatsionnyy-kladochnyy-rastvor-osnovit-N/</t>
        </is>
      </c>
    </row>
    <row r="168">
      <c r="A168" s="8" t="inlineStr">
        <is>
          <t>Основит</t>
        </is>
      </c>
      <c r="B168" s="8" t="inlineStr">
        <is>
          <t>product</t>
        </is>
      </c>
      <c r="C168" s="8" t="inlineStr">
        <is>
          <t>Раствор кладочный теплоизоляционный зимний Основит Путформ MC114 F 20 кг</t>
        </is>
      </c>
      <c r="D168" s="8" t="inlineStr">
        <is>
          <t>Основит Путформ MC114</t>
        </is>
      </c>
      <c r="E168" s="8" t="inlineStr">
        <is>
          <t>зима</t>
        </is>
      </c>
      <c r="F168" s="8" t="inlineStr">
        <is>
          <t>masonry_thermal</t>
        </is>
      </c>
      <c r="G168" s="8" t="inlineStr">
        <is>
          <t>yes</t>
        </is>
      </c>
      <c r="H168" s="8" t="inlineStr">
        <is>
          <t>Теплоизоляционный кладочный раствор ОСНОВИТ ПУТФОРМ МС114 F зимний предназначен для кладки стен из лёгких пустотелых керамических блоков, блоков из бетона на пористых заполнителях при температуре окружающей среды и основания от -10 до + 10°С.</t>
        </is>
      </c>
      <c r="I168" s="8" t="inlineStr">
        <is>
          <t>Мешок 20кг</t>
        </is>
      </c>
      <c r="J168" s="8" t="inlineStr">
        <is>
          <t>Размер блока
Расход смеси
(готовый р-р), л
Расход смеси
(сухая смесь), кг
510x250x219
2,3
2,0
440x250x219
2,2
1,9
380x250x219
1,95
1,7</t>
        </is>
      </c>
      <c r="K168" s="8" t="inlineStr">
        <is>
          <t>Зима</t>
        </is>
      </c>
      <c r="L168" s="8" t="inlineStr">
        <is>
          <t>https://osnovit.ru/catalog/kladochnye-rastvory/putform-mc114-f-zimniy-teploizolyatsionnyy-kladochnyy-rastvor/</t>
        </is>
      </c>
    </row>
    <row r="169">
      <c r="A169" s="8" t="inlineStr">
        <is>
          <t>Основит</t>
        </is>
      </c>
      <c r="B169" s="8" t="inlineStr">
        <is>
          <t>product</t>
        </is>
      </c>
      <c r="C169" s="8" t="inlineStr">
        <is>
          <t>Раствор кладочный теплоизоляционный высокоэффективный Основит Путформ MC114 L 20 кг</t>
        </is>
      </c>
      <c r="D169" s="8" t="inlineStr">
        <is>
          <t>Основит Путформ MC114 L</t>
        </is>
      </c>
      <c r="E169" s="8" t="inlineStr"/>
      <c r="F169" s="8" t="inlineStr">
        <is>
          <t>masonry_thermal</t>
        </is>
      </c>
      <c r="G169" s="8" t="inlineStr">
        <is>
          <t>yes</t>
        </is>
      </c>
      <c r="H169" s="8" t="inlineStr">
        <is>
          <t>Высокоэффективный теплоизоляционный кладочный раствор ОСНОВИТ ПУТФОРМ MC114 L предназначен для кладки стен из материалов с повышенными теплоизоляционными свойствами, а именно из лёгких пустотелых керамических блоков и блоков из бетона на пористых заполнителях.</t>
        </is>
      </c>
      <c r="I169" s="8" t="inlineStr">
        <is>
          <t>Вес упаковки
20 кг</t>
        </is>
      </c>
      <c r="J169" s="8" t="inlineStr">
        <is>
          <t>Размер блока
Расход смеси
(готовый р-р), л
Расход смеси
(сухая смесь), кг
510x250x219
2,3
1,6
440x250x219
2,2
1,5
380x250x219
1,95
1,3</t>
        </is>
      </c>
      <c r="K169" s="8" t="inlineStr"/>
      <c r="L169" s="8" t="inlineStr">
        <is>
          <t>https://osnovit.ru/catalog/kladochnye-rastvory/osnovit-putform-mc114-l-vysokoeffektivnyy-teploizolyatsionnyy-/</t>
        </is>
      </c>
    </row>
    <row r="170">
      <c r="A170" s="8" t="inlineStr">
        <is>
          <t>Основит</t>
        </is>
      </c>
      <c r="B170" s="8" t="inlineStr">
        <is>
          <t>product</t>
        </is>
      </c>
      <c r="C170" s="8" t="inlineStr">
        <is>
          <t>Пол наливной суперфинишный Основит Ровилайн FC49 20 кг</t>
        </is>
      </c>
      <c r="D170" s="8" t="inlineStr">
        <is>
          <t>Основит Ровилайн FC49</t>
        </is>
      </c>
      <c r="E170" s="8" t="inlineStr"/>
      <c r="F170" s="8" t="inlineStr">
        <is>
          <t>floor_self_leveling</t>
        </is>
      </c>
      <c r="G170" s="8" t="inlineStr">
        <is>
          <t>yes</t>
        </is>
      </c>
      <c r="H170" s="8" t="inlineStr">
        <is>
          <t>Наливной пол Основит Ровилайн FC49 предназначен для окончательного выравнивания оснований слоем от 0 до 5 мм в жилых и офисных помещениях.</t>
        </is>
      </c>
      <c r="I170" s="8" t="inlineStr">
        <is>
          <t>Вес упаковки
20 кг</t>
        </is>
      </c>
      <c r="J170" s="8" t="inlineStr">
        <is>
          <t>Расход смеси при слое 1 мм
1,6 кг/м 2</t>
        </is>
      </c>
      <c r="K170" s="8" t="inlineStr"/>
      <c r="L170" s="8" t="inlineStr">
        <is>
          <t>https://osnovit.ru/catalog/nalivnye-poly/rovilayn-fc49-nalivnoy-pol-superfinishnyy-osnovit/</t>
        </is>
      </c>
    </row>
    <row r="171">
      <c r="A171" s="8" t="inlineStr">
        <is>
          <t>Основит</t>
        </is>
      </c>
      <c r="B171" s="8" t="inlineStr">
        <is>
          <t>product</t>
        </is>
      </c>
      <c r="C171" s="8" t="inlineStr">
        <is>
          <t>Пол наливной тонкослойный Основит Ровилайн FK46 20 кг</t>
        </is>
      </c>
      <c r="D171" s="8" t="inlineStr">
        <is>
          <t>Основит Ровилайн FK46</t>
        </is>
      </c>
      <c r="E171" s="8" t="inlineStr"/>
      <c r="F171" s="8" t="inlineStr">
        <is>
          <t>floor_self_leveling</t>
        </is>
      </c>
      <c r="G171" s="8" t="inlineStr">
        <is>
          <t>yes</t>
        </is>
      </c>
      <c r="H171" s="8" t="inlineStr">
        <is>
          <t>Наливной пол ОСНОВИТ РОВИЛАЙН FK46 предназначен для окончательного выравнивания оснований слоем от 0,5 до 10 мм в жилых и офисных помещениях.</t>
        </is>
      </c>
      <c r="I171" s="8" t="inlineStr">
        <is>
          <t>Вес упаковки
20 кг</t>
        </is>
      </c>
      <c r="J171" s="8" t="inlineStr">
        <is>
          <t>Расход смеси при слое 1 мм
1,6 кг/м 2</t>
        </is>
      </c>
      <c r="K171" s="8" t="inlineStr"/>
      <c r="L171" s="8" t="inlineStr">
        <is>
          <t>https://osnovit.ru/catalog/nalivnye-poly/rovilayn-fk46-nalivnoy-pol-tonkosloynyy-osnovit-/</t>
        </is>
      </c>
    </row>
    <row r="172">
      <c r="A172" s="8" t="inlineStr">
        <is>
          <t>Основит</t>
        </is>
      </c>
      <c r="B172" s="8" t="inlineStr">
        <is>
          <t>product</t>
        </is>
      </c>
      <c r="C172" s="8" t="inlineStr">
        <is>
          <t>Раствор кладочный Основит Рокформ MC110 25 кг</t>
        </is>
      </c>
      <c r="D172" s="8" t="inlineStr">
        <is>
          <t>Основит Рокформ MC110</t>
        </is>
      </c>
      <c r="E172" s="8" t="inlineStr"/>
      <c r="F172" s="8" t="inlineStr">
        <is>
          <t>masonry_ordinary</t>
        </is>
      </c>
      <c r="G172" s="8" t="inlineStr">
        <is>
          <t>yes</t>
        </is>
      </c>
      <c r="H172" s="8" t="inlineStr">
        <is>
          <t>предназначен для забутовки и кладки стен из облицовочного и рядового кирпича.</t>
        </is>
      </c>
      <c r="I172" s="8" t="inlineStr">
        <is>
          <t>25 кг</t>
        </is>
      </c>
      <c r="J172" s="8" t="inlineStr">
        <is>
          <t>400-440 кг</t>
        </is>
      </c>
      <c r="K172" s="8" t="inlineStr"/>
      <c r="L172" s="8" t="inlineStr">
        <is>
          <t>https://osnovit.ru/catalog/kladochnye-rastvory/kladochnyy-rastvor-osnovit-rokform-ms110/</t>
        </is>
      </c>
    </row>
    <row r="173">
      <c r="A173" s="8" t="inlineStr">
        <is>
          <t>Основит</t>
        </is>
      </c>
      <c r="B173" s="8" t="inlineStr">
        <is>
          <t>product</t>
        </is>
      </c>
      <c r="C173" s="8" t="inlineStr">
        <is>
          <t>Раствор кладочный для рядового кирпича Основит Рокформ MC110 25 кг</t>
        </is>
      </c>
      <c r="D173" s="8" t="inlineStr">
        <is>
          <t>Основит Рокформ MC110</t>
        </is>
      </c>
      <c r="E173" s="8" t="inlineStr"/>
      <c r="F173" s="8" t="inlineStr">
        <is>
          <t>masonry_ordinary</t>
        </is>
      </c>
      <c r="G173" s="8" t="inlineStr">
        <is>
          <t>yes</t>
        </is>
      </c>
      <c r="H173" s="8" t="inlineStr">
        <is>
          <t>Кладочный раствор ОСНОВИТ РОКФОРМ МС110 предназначен для забутовки и кладки стен из облицовочного и рядового кирпича.</t>
        </is>
      </c>
      <c r="I173" s="8" t="inlineStr">
        <is>
          <t>Вес упаковки
25 кг</t>
        </is>
      </c>
      <c r="J173" s="8" t="inlineStr">
        <is>
          <t>Расход смеси на 1 м 2 кладки в 1 кирпич
120 кг
Расход смеси на 1 м 3 кладки
400-440 кг</t>
        </is>
      </c>
      <c r="K173" s="8" t="inlineStr"/>
      <c r="L173" s="8" t="inlineStr">
        <is>
          <t>https://osnovit.ru/catalog/kladochnye-rastvory-osnovit/rokform-ms110-N/</t>
        </is>
      </c>
    </row>
    <row r="174">
      <c r="A174" s="8" t="inlineStr">
        <is>
          <t>Основит</t>
        </is>
      </c>
      <c r="B174" s="8" t="inlineStr">
        <is>
          <t>product</t>
        </is>
      </c>
      <c r="C174" s="8" t="inlineStr">
        <is>
          <t>Раствор кладочный зимний Основит Рокформ MC110 F 25 кг</t>
        </is>
      </c>
      <c r="D174" s="8" t="inlineStr">
        <is>
          <t>Основит Рокформ MC110</t>
        </is>
      </c>
      <c r="E174" s="8" t="inlineStr">
        <is>
          <t>зима</t>
        </is>
      </c>
      <c r="F174" s="8" t="inlineStr">
        <is>
          <t>masonry_ordinary</t>
        </is>
      </c>
      <c r="G174" s="8" t="inlineStr">
        <is>
          <t>yes</t>
        </is>
      </c>
      <c r="H174" s="8" t="inlineStr">
        <is>
          <t>предназначен для кладки стен из рядового кирпича при температуре окружающей среды и основания от -10 до +10°С.</t>
        </is>
      </c>
      <c r="I174" s="8" t="inlineStr">
        <is>
          <t>Мешок 25кг</t>
        </is>
      </c>
      <c r="J174" s="8" t="inlineStr">
        <is>
          <t>400-440 кг</t>
        </is>
      </c>
      <c r="K174" s="8" t="inlineStr">
        <is>
          <t>Зима</t>
        </is>
      </c>
      <c r="L174" s="8" t="inlineStr">
        <is>
          <t>https://osnovit.ru/catalog/kladochnye-rastvory/kladochnyy-rastvor-osnovit-rokform-ms110-f-zimniy/</t>
        </is>
      </c>
    </row>
    <row r="175">
      <c r="A175" s="8" t="inlineStr">
        <is>
          <t>Основит</t>
        </is>
      </c>
      <c r="B175" s="8" t="inlineStr">
        <is>
          <t>product</t>
        </is>
      </c>
      <c r="C175" s="8" t="inlineStr">
        <is>
          <t>Клей монтажный Основит Селформ MC112 20 кг</t>
        </is>
      </c>
      <c r="D175" s="8" t="inlineStr">
        <is>
          <t>Основит Селформ MC112</t>
        </is>
      </c>
      <c r="E175" s="8" t="inlineStr"/>
      <c r="F175" s="8" t="inlineStr">
        <is>
          <t>block_adhesive</t>
        </is>
      </c>
      <c r="G175" s="8" t="inlineStr">
        <is>
          <t>yes</t>
        </is>
      </c>
      <c r="H175" s="8" t="inlineStr">
        <is>
          <t>Клей монтажный Основит Селформ МС112 предназначен для кладки стен и перегородок из блоков и плит на основе ячеистого бетона (пено- и газобетон), газосиликата и силиката.</t>
        </is>
      </c>
      <c r="I175" s="8" t="inlineStr">
        <is>
          <t>Вес упаковки
20 кг</t>
        </is>
      </c>
      <c r="J175" s="8" t="inlineStr">
        <is>
          <t>Расход смеси на 1 м 3 блоков (блоки из ячеистых бетонов 20*30*60 см, шов 3 мм)
26 кг</t>
        </is>
      </c>
      <c r="K175" s="8" t="inlineStr"/>
      <c r="L175" s="8" t="inlineStr">
        <is>
          <t>https://osnovit.ru/catalog/montazhnye-klei/selform-ms112-ms112-w/</t>
        </is>
      </c>
    </row>
    <row r="176">
      <c r="A176" s="8" t="inlineStr">
        <is>
          <t>Основит</t>
        </is>
      </c>
      <c r="B176" s="8" t="inlineStr">
        <is>
          <t>duplicate_of_other</t>
        </is>
      </c>
      <c r="C176" s="8" t="inlineStr">
        <is>
          <t>Клей монтажный Основит Селформ MC112 20 кг</t>
        </is>
      </c>
      <c r="D176" s="8" t="inlineStr">
        <is>
          <t>Основит Селформ MC112</t>
        </is>
      </c>
      <c r="E176" s="8" t="inlineStr"/>
      <c r="F176" s="8" t="inlineStr">
        <is>
          <t>block_adhesive</t>
        </is>
      </c>
      <c r="G176" s="8" t="inlineStr">
        <is>
          <t>yes</t>
        </is>
      </c>
      <c r="H176" s="8" t="inlineStr">
        <is>
          <t>Клей монтажный Основит Селформ МС112 предназначен для кладки стен и перегородок из блоков и плит на основе ячеистого бетона (пено- и газобетон), газосиликата и силиката.</t>
        </is>
      </c>
      <c r="I176" s="8" t="inlineStr">
        <is>
          <t>Вес упаковки
20 кг</t>
        </is>
      </c>
      <c r="J176" s="8" t="inlineStr">
        <is>
          <t>Расход смеси на 1 м 3 блоков (блоки из ячеистых бетонов 20*30*60 см, шов 3 мм)
26 кг</t>
        </is>
      </c>
      <c r="K176" s="8" t="inlineStr"/>
      <c r="L176" s="8" t="inlineStr">
        <is>
          <t>https://osnovit.ru/catalog/montazhnye-klei/selform-ms112-ms112-w-N/</t>
        </is>
      </c>
    </row>
    <row r="177">
      <c r="A177" s="8" t="inlineStr">
        <is>
          <t>Основит</t>
        </is>
      </c>
      <c r="B177" s="8" t="inlineStr">
        <is>
          <t>product</t>
        </is>
      </c>
      <c r="C177" s="8" t="inlineStr">
        <is>
          <t>Клей монтажный зимний Основит Селформ MC112 F 20 кг</t>
        </is>
      </c>
      <c r="D177" s="8" t="inlineStr">
        <is>
          <t>Основит Селформ MC112</t>
        </is>
      </c>
      <c r="E177" s="8" t="inlineStr">
        <is>
          <t>зима</t>
        </is>
      </c>
      <c r="F177" s="8" t="inlineStr">
        <is>
          <t>block_adhesive</t>
        </is>
      </c>
      <c r="G177" s="8" t="inlineStr">
        <is>
          <t>yes</t>
        </is>
      </c>
      <c r="H177" s="8" t="inlineStr">
        <is>
          <t>ОСНОВИТ СЕЛФОРМ MC112 F зимний клей монтажный предназначен для кладки стен и перегородок из блоков и плит на основе ячеистого бетона (пено- и газобетон), газосиликата и силиката при температуре окружающей среды и основания от -10 до + 10°С .</t>
        </is>
      </c>
      <c r="I177" s="8" t="inlineStr">
        <is>
          <t>Мешок 20кг</t>
        </is>
      </c>
      <c r="J177" s="8" t="inlineStr">
        <is>
          <t>Расход смеси на 1м² блоков (блоки из ячеистых бетонов 20*30*60см, шов 3мм)
8 кг</t>
        </is>
      </c>
      <c r="K177" s="8" t="inlineStr">
        <is>
          <t>Зима</t>
        </is>
      </c>
      <c r="L177" s="8" t="inlineStr">
        <is>
          <t>https://osnovit.ru/catalog/montazhnye-klei/selform-mc-112-f/</t>
        </is>
      </c>
    </row>
    <row r="178">
      <c r="A178" s="8" t="inlineStr">
        <is>
          <t>Основит</t>
        </is>
      </c>
      <c r="B178" s="8" t="inlineStr">
        <is>
          <t>duplicate_of_other</t>
        </is>
      </c>
      <c r="C178" s="8" t="inlineStr">
        <is>
          <t>Наливной пол быстротвердеющий ОСНОВИТ СКОРЛАЙН FK45 R (20 кг)</t>
        </is>
      </c>
      <c r="D178" s="8" t="inlineStr">
        <is>
          <t>Основит Скорлайн FK45 R</t>
        </is>
      </c>
      <c r="E178" s="8" t="inlineStr"/>
      <c r="F178" s="8" t="inlineStr">
        <is>
          <t>floor_self_leveling</t>
        </is>
      </c>
      <c r="G178" s="8" t="inlineStr">
        <is>
          <t>yes</t>
        </is>
      </c>
      <c r="H178" s="8" t="inlineStr">
        <is>
          <t>Наливной пол Основит Скорлайн FK45 R предназначен для предварительного и окончательного выравнивания оснований слоем от 2 до 100 мм в жилых и офисных помещениях.</t>
        </is>
      </c>
      <c r="I178" s="8" t="inlineStr">
        <is>
          <t>Вес упаковки
20 кг</t>
        </is>
      </c>
      <c r="J178" s="8" t="inlineStr">
        <is>
          <t>Расход смеси при слое 10 мм
16-17 кг/м 2</t>
        </is>
      </c>
      <c r="K178" s="8" t="inlineStr"/>
      <c r="L178" s="8" t="inlineStr">
        <is>
          <t>https://osnovit.ru/catalog/nalivnye-poly/skorlayn-fk45r-N/</t>
        </is>
      </c>
    </row>
    <row r="179">
      <c r="A179" s="8" t="inlineStr">
        <is>
          <t>Основит</t>
        </is>
      </c>
      <c r="B179" s="8" t="inlineStr">
        <is>
          <t>product</t>
        </is>
      </c>
      <c r="C179" s="8" t="inlineStr">
        <is>
          <t>Пол наливной быстротвердеющий Основит Скорлайн FK45 R 20 кг</t>
        </is>
      </c>
      <c r="D179" s="8" t="inlineStr">
        <is>
          <t>Основит Скорлайн FK45 R</t>
        </is>
      </c>
      <c r="E179" s="8" t="inlineStr"/>
      <c r="F179" s="8" t="inlineStr">
        <is>
          <t>floor_self_leveling</t>
        </is>
      </c>
      <c r="G179" s="8" t="inlineStr">
        <is>
          <t>yes</t>
        </is>
      </c>
      <c r="H179" s="8" t="inlineStr">
        <is>
          <t>Наливной пол Основит Скорлайн FK45 R предназначен для предварительного и окончательного выравнивания оснований слоем от 2 до 100 мм в жилых и офисных помещениях.</t>
        </is>
      </c>
      <c r="I179" s="8" t="inlineStr">
        <is>
          <t>Вес упаковки
20 кг</t>
        </is>
      </c>
      <c r="J179" s="8" t="inlineStr">
        <is>
          <t>Расход смеси при слое 10 мм
16-17 кг/м 2</t>
        </is>
      </c>
      <c r="K179" s="8" t="inlineStr"/>
      <c r="L179" s="8" t="inlineStr">
        <is>
          <t>https://osnovit.ru/catalog/nalivnye-poly/skorlayn-fk45r/</t>
        </is>
      </c>
    </row>
    <row r="180">
      <c r="A180" s="8" t="inlineStr">
        <is>
          <t>Основит</t>
        </is>
      </c>
      <c r="B180" s="8" t="inlineStr">
        <is>
          <t>product</t>
        </is>
      </c>
      <c r="C180" s="8" t="inlineStr">
        <is>
          <t>Пол наливной быстротвердеющий универсальный Основит Скорлайн FK48 R 20 кг</t>
        </is>
      </c>
      <c r="D180" s="8" t="inlineStr">
        <is>
          <t>Основит Скорлайн FK48 R</t>
        </is>
      </c>
      <c r="E180" s="8" t="inlineStr"/>
      <c r="F180" s="8" t="inlineStr">
        <is>
          <t>floor_self_leveling</t>
        </is>
      </c>
      <c r="G180" s="8" t="inlineStr">
        <is>
          <t>yes</t>
        </is>
      </c>
      <c r="H180" s="8" t="inlineStr">
        <is>
          <t>Наливной пол универсальный Основит Скорлайн FK48 R предназначен для предварительного и окончательного выравнивания оснований слоем от 3 до 80 мм в жилых и офисных помещениях.</t>
        </is>
      </c>
      <c r="I180" s="8" t="inlineStr">
        <is>
          <t>Вес упаковки
20 кг</t>
        </is>
      </c>
      <c r="J180" s="8" t="inlineStr">
        <is>
          <t>Расход смеси при слое 10 мм
14-15 кг/м 2</t>
        </is>
      </c>
      <c r="K180" s="8" t="inlineStr"/>
      <c r="L180" s="8" t="inlineStr">
        <is>
          <t>https://osnovit.ru/catalog/nalivnye-poly/skorlayn-fk48-r/</t>
        </is>
      </c>
    </row>
    <row r="181">
      <c r="A181" s="8" t="inlineStr">
        <is>
          <t>Основит</t>
        </is>
      </c>
      <c r="B181" s="8" t="inlineStr">
        <is>
          <t>product</t>
        </is>
      </c>
      <c r="C181" s="8" t="inlineStr">
        <is>
          <t>Клей плиточный универсальный Основит Старпликс AC11 [C1]</t>
        </is>
      </c>
      <c r="D181" s="8" t="inlineStr">
        <is>
          <t>Основит Старпликс AC11</t>
        </is>
      </c>
      <c r="E181" s="8" t="inlineStr"/>
      <c r="F181" s="8" t="inlineStr">
        <is>
          <t>tile_adhesive</t>
        </is>
      </c>
      <c r="G181" s="8" t="inlineStr">
        <is>
          <t>yes</t>
        </is>
      </c>
      <c r="H181" s="8" t="inlineStr">
        <is>
          <t>Универсальный плиточный клей Основит Старпликс AC11 предназначен для облицовки оснований стен и полов с подогревом керамической плиткой, натуральным и искусственным камнем весом до 600 г/100 см².</t>
        </is>
      </c>
      <c r="I181" s="8" t="inlineStr">
        <is>
          <t>5 кг, 25 кг</t>
        </is>
      </c>
      <c r="J181" s="8" t="inlineStr">
        <is>
          <t>1,3-1,5 кг/м 2</t>
        </is>
      </c>
      <c r="K181" s="8" t="inlineStr"/>
      <c r="L181" s="8" t="inlineStr">
        <is>
          <t>https://osnovit.ru/catalog/plitochnye-klei/starpliks-ac11/</t>
        </is>
      </c>
    </row>
    <row r="182">
      <c r="A182" s="8" t="inlineStr">
        <is>
          <t>Основит</t>
        </is>
      </c>
      <c r="B182" s="8" t="inlineStr">
        <is>
          <t>product</t>
        </is>
      </c>
      <c r="C182" s="8" t="inlineStr">
        <is>
          <t>Клей плиточный зимний Основит Старпликс AC112 F [C1] 25 кг</t>
        </is>
      </c>
      <c r="D182" s="8" t="inlineStr">
        <is>
          <t>Основит Старпликс AC112</t>
        </is>
      </c>
      <c r="E182" s="8" t="inlineStr">
        <is>
          <t>зима</t>
        </is>
      </c>
      <c r="F182" s="8" t="inlineStr">
        <is>
          <t>tile_adhesive</t>
        </is>
      </c>
      <c r="G182" s="8" t="inlineStr">
        <is>
          <t>yes</t>
        </is>
      </c>
      <c r="H182" s="8" t="inlineStr">
        <is>
          <t>Плиточный клей универсальный Основит Старпликс АС112 F предназначен для укладки керамической плитки весом до 450 г/100 см² на стены и полы gпри температуре окружающей среды от – 10°С до + 10°С.</t>
        </is>
      </c>
      <c r="I182" s="8" t="inlineStr">
        <is>
          <t>25 кг</t>
        </is>
      </c>
      <c r="J182" s="8" t="inlineStr"/>
      <c r="K182" s="8" t="inlineStr">
        <is>
          <t>Зима</t>
        </is>
      </c>
      <c r="L182" s="8" t="inlineStr">
        <is>
          <t>https://osnovit.ru/catalog/plitochnye-klei/starpliks-ac112-f/</t>
        </is>
      </c>
    </row>
    <row r="183">
      <c r="A183" s="8" t="inlineStr">
        <is>
          <t>Основит</t>
        </is>
      </c>
      <c r="B183" s="8" t="inlineStr">
        <is>
          <t>product</t>
        </is>
      </c>
      <c r="C183" s="8" t="inlineStr">
        <is>
          <t>Штукатурка фасадная ОСНОВИТ СТАРТВЭЛЛ PC21 (25 кг) Н</t>
        </is>
      </c>
      <c r="D183" s="8" t="inlineStr">
        <is>
          <t>Основит Стартвэлл PC21</t>
        </is>
      </c>
      <c r="E183" s="8" t="inlineStr">
        <is>
          <t>карточка «Н»</t>
        </is>
      </c>
      <c r="F183" s="8" t="inlineStr">
        <is>
          <t>plaster_cement</t>
        </is>
      </c>
      <c r="G183" s="8" t="inlineStr">
        <is>
          <t>yes</t>
        </is>
      </c>
      <c r="H183" s="8" t="inlineStr">
        <is>
          <t>Штукатурка ОСНОВИТ СТАРТВЭЛЛ PC21 предназначена для выравнивания стен из бетона, кирпича, пено- и газобетона.</t>
        </is>
      </c>
      <c r="I183" s="8" t="inlineStr">
        <is>
          <t>25 кг</t>
        </is>
      </c>
      <c r="J183" s="8" t="inlineStr">
        <is>
          <t>16-17 кг/м²</t>
        </is>
      </c>
      <c r="K183" s="8" t="inlineStr"/>
      <c r="L183" s="8" t="inlineStr">
        <is>
          <t>https://osnovit.ru/catalog/shtukaturki-tsementnye/osnovit-startvell-pc-21-shtukaturka-fasadnaya-mn-N/</t>
        </is>
      </c>
    </row>
    <row r="184">
      <c r="A184" s="8" t="inlineStr">
        <is>
          <t>Основит</t>
        </is>
      </c>
      <c r="B184" s="8" t="inlineStr">
        <is>
          <t>product</t>
        </is>
      </c>
      <c r="C184" s="8" t="inlineStr">
        <is>
          <t>Штукатурка фасадная ОСНОВИТ СТАРТВЭЛЛ PC21 M (25 кг)</t>
        </is>
      </c>
      <c r="D184" s="8" t="inlineStr">
        <is>
          <t>Основит Стартвэлл PC21 M</t>
        </is>
      </c>
      <c r="E184" s="8" t="inlineStr"/>
      <c r="F184" s="8" t="inlineStr">
        <is>
          <t>plaster_cement</t>
        </is>
      </c>
      <c r="G184" s="8" t="inlineStr">
        <is>
          <t>yes</t>
        </is>
      </c>
      <c r="H184" s="8" t="inlineStr">
        <is>
          <t>Штукатурка ОСНОВИТ СТАРТВЭЛЛ PC21 M предназначена для выравнивания стен из бетона, кирпича, пено- и газобетона.</t>
        </is>
      </c>
      <c r="I184" s="8" t="inlineStr">
        <is>
          <t>25 кг</t>
        </is>
      </c>
      <c r="J184" s="8" t="inlineStr">
        <is>
          <t>13кг/м²</t>
        </is>
      </c>
      <c r="K184" s="8" t="inlineStr"/>
      <c r="L184" s="8" t="inlineStr">
        <is>
          <t>https://osnovit.ru/catalog/shtukaturki-tsementnye/startvell-pc-21-m-shtukaturka-fasadnaya-osnovit-N/</t>
        </is>
      </c>
    </row>
    <row r="185">
      <c r="A185" s="8" t="inlineStr">
        <is>
          <t>Основит</t>
        </is>
      </c>
      <c r="B185" s="8" t="inlineStr">
        <is>
          <t>product</t>
        </is>
      </c>
      <c r="C185" s="8" t="inlineStr">
        <is>
          <t>Штукатурка цементная Основит Стартвэлл PC211 M 25 кг</t>
        </is>
      </c>
      <c r="D185" s="8" t="inlineStr">
        <is>
          <t>Основит Стартвэлл PC211 M</t>
        </is>
      </c>
      <c r="E185" s="8" t="inlineStr"/>
      <c r="F185" s="8" t="inlineStr">
        <is>
          <t>plaster_cement</t>
        </is>
      </c>
      <c r="G185" s="8" t="inlineStr">
        <is>
          <t>yes</t>
        </is>
      </c>
      <c r="H185" s="8" t="inlineStr">
        <is>
          <t>ОСНОВИТ СТАРТВЭЛЛ PC211 M — цементная штукатурка для базового выравнивания стен внутри и снаружи зданий.</t>
        </is>
      </c>
      <c r="I185" s="8" t="inlineStr">
        <is>
          <t>25 кг</t>
        </is>
      </c>
      <c r="J185" s="8" t="inlineStr">
        <is>
          <t>13-14 кг/м</t>
        </is>
      </c>
      <c r="K185" s="8" t="inlineStr"/>
      <c r="L185" s="8" t="inlineStr">
        <is>
          <t>https://osnovit.ru/catalog/shtukaturki-tsementnye/osnovit-startvell-pc211-m-shtukaturka-tsementnaya/</t>
        </is>
      </c>
    </row>
    <row r="186">
      <c r="A186" s="8" t="inlineStr">
        <is>
          <t>Основит</t>
        </is>
      </c>
      <c r="B186" s="8" t="inlineStr">
        <is>
          <t>product</t>
        </is>
      </c>
      <c r="C186" s="8" t="inlineStr">
        <is>
          <t>Штукатурка цементная высокопрочная Основит Стартвэлл PC22 H 25 кг</t>
        </is>
      </c>
      <c r="D186" s="8" t="inlineStr">
        <is>
          <t>Основит Стартвэлл PC22 H</t>
        </is>
      </c>
      <c r="E186" s="8" t="inlineStr"/>
      <c r="F186" s="8" t="inlineStr">
        <is>
          <t>plaster_cement</t>
        </is>
      </c>
      <c r="G186" s="8" t="inlineStr">
        <is>
          <t>yes</t>
        </is>
      </c>
      <c r="H186" s="8" t="inlineStr">
        <is>
          <t>ОСНОВИТ СТАРТВЭЛЛ PC22 H — высокопрочная цементная штукатурка для выравнивания стен и поверхностей, подвергающихся повышенным эксплуатационным нагрузкам.</t>
        </is>
      </c>
      <c r="I186" s="8" t="inlineStr">
        <is>
          <t>25 кг</t>
        </is>
      </c>
      <c r="J186" s="8" t="inlineStr">
        <is>
          <t>16 кг/м²</t>
        </is>
      </c>
      <c r="K186" s="8" t="inlineStr"/>
      <c r="L186" s="8" t="inlineStr">
        <is>
          <t>https://osnovit.ru/catalog/shtukaturki/osnovit-bigvell-t-22-shtukaturka-fasadnaya-profi/</t>
        </is>
      </c>
    </row>
    <row r="187">
      <c r="A187" s="8" t="inlineStr">
        <is>
          <t>Основит</t>
        </is>
      </c>
      <c r="B187" s="8" t="inlineStr">
        <is>
          <t>duplicate_of_other</t>
        </is>
      </c>
      <c r="C187" s="8" t="inlineStr">
        <is>
          <t>Штукатурка цементная высокопрочная ОСНОВИТ СТАРТВЭЛЛ PC22 H (25 кг)</t>
        </is>
      </c>
      <c r="D187" s="8" t="inlineStr">
        <is>
          <t>Основит Стартвэлл PC22 H</t>
        </is>
      </c>
      <c r="E187" s="8" t="inlineStr">
        <is>
          <t>карточка «-n»</t>
        </is>
      </c>
      <c r="F187" s="8" t="inlineStr">
        <is>
          <t>plaster_cement</t>
        </is>
      </c>
      <c r="G187" s="8" t="inlineStr">
        <is>
          <t>yes</t>
        </is>
      </c>
      <c r="H187" s="8" t="inlineStr">
        <is>
          <t>предназначена для выравнивания стен из бетона, кирпича и ячеистого бетона.</t>
        </is>
      </c>
      <c r="I187" s="8" t="inlineStr">
        <is>
          <t>25 кг</t>
        </is>
      </c>
      <c r="J187" s="8" t="inlineStr">
        <is>
          <t>18 кг/м ²</t>
        </is>
      </c>
      <c r="K187" s="8" t="inlineStr"/>
      <c r="L187" s="8" t="inlineStr">
        <is>
          <t>https://osnovit.ru/catalog/shtukaturki-tsementnye/shtukaturka-fasadnaya-profi-osnovit-startvell-pc22-h-25-kg-n/</t>
        </is>
      </c>
    </row>
    <row r="188">
      <c r="A188" s="8" t="inlineStr">
        <is>
          <t>Основит</t>
        </is>
      </c>
      <c r="B188" s="8" t="inlineStr">
        <is>
          <t>product</t>
        </is>
      </c>
      <c r="C188" s="8" t="inlineStr">
        <is>
          <t>Стяжка базовая Основит Стартолайн FC40 25 кг</t>
        </is>
      </c>
      <c r="D188" s="8" t="inlineStr">
        <is>
          <t>Основит Стартолайн FC40</t>
        </is>
      </c>
      <c r="E188" s="8" t="inlineStr">
        <is>
          <t>25 кг</t>
        </is>
      </c>
      <c r="F188" s="8" t="inlineStr">
        <is>
          <t>floor_screed</t>
        </is>
      </c>
      <c r="G188" s="8" t="inlineStr">
        <is>
          <t>yes</t>
        </is>
      </c>
      <c r="H188" s="8" t="inlineStr">
        <is>
          <t>Стяжка ОСНОВИТ СТАРТОЛАЙН FC40 предназначена для предварительного выравнивания оснований и устройства прочного пола в жилых, офисных, торговых и общественных помещениях.</t>
        </is>
      </c>
      <c r="I188" s="8" t="inlineStr">
        <is>
          <t>Вес упаковки
25 кг</t>
        </is>
      </c>
      <c r="J188" s="8" t="inlineStr">
        <is>
          <t>Расход смеси при слое 10 мм
20 кг/м 2</t>
        </is>
      </c>
      <c r="K188" s="8" t="inlineStr"/>
      <c r="L188" s="8" t="inlineStr">
        <is>
          <t>https://osnovit.ru/catalog/styazhki/startolayn-FC-40/</t>
        </is>
      </c>
    </row>
    <row r="189">
      <c r="A189" s="8" t="inlineStr">
        <is>
          <t>Основит</t>
        </is>
      </c>
      <c r="B189" s="8" t="inlineStr">
        <is>
          <t>product</t>
        </is>
      </c>
      <c r="C189" s="8" t="inlineStr">
        <is>
          <t>Стяжка высокопрочная Основит Стартолайн FC41 H 25 кг</t>
        </is>
      </c>
      <c r="D189" s="8" t="inlineStr">
        <is>
          <t>Основит Стартолайн FC41 H</t>
        </is>
      </c>
      <c r="E189" s="8" t="inlineStr">
        <is>
          <t>25 кг</t>
        </is>
      </c>
      <c r="F189" s="8" t="inlineStr">
        <is>
          <t>floor_screed</t>
        </is>
      </c>
      <c r="G189" s="8" t="inlineStr">
        <is>
          <t>yes</t>
        </is>
      </c>
      <c r="H189" s="8" t="inlineStr">
        <is>
          <t>Стяжка ОСНОВИТ СТАРТОЛАЙН FC41 H предназначена для предварительного выравнивания оснований и устройства прочного пола в жилых, офисных, торговых и общественных помещениях.</t>
        </is>
      </c>
      <c r="I189" s="8" t="inlineStr">
        <is>
          <t>Вес упаковки
25 кг</t>
        </is>
      </c>
      <c r="J189" s="8" t="inlineStr">
        <is>
          <t>Расход смеси при слое 10 мм
20 кг/м 2</t>
        </is>
      </c>
      <c r="K189" s="8" t="inlineStr"/>
      <c r="L189" s="8" t="inlineStr">
        <is>
          <t>https://osnovit.ru/catalog/styazhki/startolayn-FC-41-H/</t>
        </is>
      </c>
    </row>
    <row r="190">
      <c r="A190" s="8" t="inlineStr">
        <is>
          <t>Основит</t>
        </is>
      </c>
      <c r="B190" s="8" t="inlineStr">
        <is>
          <t>product</t>
        </is>
      </c>
      <c r="C190" s="8" t="inlineStr">
        <is>
          <t>Стяжка легкая Основит Стартолайн FC43 L 25 кг</t>
        </is>
      </c>
      <c r="D190" s="8" t="inlineStr">
        <is>
          <t>Основит Стартолайн FC43 L</t>
        </is>
      </c>
      <c r="E190" s="8" t="inlineStr">
        <is>
          <t>25 кг</t>
        </is>
      </c>
      <c r="F190" s="8" t="inlineStr">
        <is>
          <t>floor_screed</t>
        </is>
      </c>
      <c r="G190" s="8" t="inlineStr">
        <is>
          <t>yes</t>
        </is>
      </c>
      <c r="H190" s="8" t="inlineStr">
        <is>
          <t>Стяжка ОСНОВИТ СТАРТОЛАЙН FC43 L предназначена для предварительного выравнивания оснований и устройства легкого и прочного пола в жилых и офисных помещениях.</t>
        </is>
      </c>
      <c r="I190" s="8" t="inlineStr">
        <is>
          <t>Вес упаковки
25 кг</t>
        </is>
      </c>
      <c r="J190" s="8" t="inlineStr">
        <is>
          <t>Расход смеси при слое 10 мм
12 кг/м 2</t>
        </is>
      </c>
      <c r="K190" s="8" t="inlineStr"/>
      <c r="L190" s="8" t="inlineStr">
        <is>
          <t>https://osnovit.ru/catalog/styazhki/startolayn-fc43-l-styazhka-lyegkaya-osnovit-/</t>
        </is>
      </c>
    </row>
    <row r="191">
      <c r="A191" s="8" t="inlineStr">
        <is>
          <t>Основит</t>
        </is>
      </c>
      <c r="B191" s="8" t="inlineStr">
        <is>
          <t>product</t>
        </is>
      </c>
      <c r="C191" s="8" t="inlineStr">
        <is>
          <t>Фибра полипропиленовая Основит Сэйфскрин FPp12 150 г</t>
        </is>
      </c>
      <c r="D191" s="8" t="inlineStr">
        <is>
          <t>Основит Сэйфскрин FPp12</t>
        </is>
      </c>
      <c r="E191" s="8" t="inlineStr">
        <is>
          <t>150 г</t>
        </is>
      </c>
      <c r="F191" s="8" t="inlineStr">
        <is>
          <t>additive</t>
        </is>
      </c>
      <c r="G191" s="8" t="inlineStr">
        <is>
          <t>no</t>
        </is>
      </c>
      <c r="H191" s="8" t="inlineStr">
        <is>
          <t>ОСНОВИТ СЭЙФСКРИН FPp12 – полипропиленовое армирующее волокно длиной 12 мм, предназначено для добавления в бетоны и растворы с целью повышения прочности готовой конструкции, предотвращения усадки, повышения стойкости к истиранию, морозостойкости, огнестойкости, ударопрочности и водостойкости готовой конструкции.</t>
        </is>
      </c>
      <c r="I191" s="8" t="inlineStr">
        <is>
          <t>150 г</t>
        </is>
      </c>
      <c r="J191" s="8" t="inlineStr">
        <is>
          <t>Дозировка на 1 м 3 бетона*
600-900 г</t>
        </is>
      </c>
      <c r="K191" s="8" t="inlineStr"/>
      <c r="L191" s="8" t="inlineStr">
        <is>
          <t>https://osnovit.ru/catalog/dobavki-v-rastvory/fibra-polipropilenovaya-osnovit-seyfskrin-fpp12_150/</t>
        </is>
      </c>
    </row>
    <row r="192">
      <c r="A192" s="8" t="inlineStr">
        <is>
          <t>Основит</t>
        </is>
      </c>
      <c r="B192" s="8" t="inlineStr">
        <is>
          <t>product</t>
        </is>
      </c>
      <c r="C192" s="8" t="inlineStr">
        <is>
          <t>Фибра полипропиленовая ОСНОВИТ СЭЙФСКРИН FPp12</t>
        </is>
      </c>
      <c r="D192" s="8" t="inlineStr">
        <is>
          <t>Основит Сэйфскрин FPp12</t>
        </is>
      </c>
      <c r="E192" s="8" t="inlineStr">
        <is>
          <t>600 г</t>
        </is>
      </c>
      <c r="F192" s="8" t="inlineStr">
        <is>
          <t>additive</t>
        </is>
      </c>
      <c r="G192" s="8" t="inlineStr">
        <is>
          <t>no</t>
        </is>
      </c>
      <c r="H192" s="8" t="inlineStr">
        <is>
          <t>ОСНОВИТ СЭЙФСКРИН FPp12 – полипропиленовое армирующее волокно длиной 12 мм, предназначено для добавления в бетоны и растворы с целью повышения прочности готовой конструкции, предотвращения усадки, повышения стойкости к истиранию, морозостойкости, огнестойкости, ударопрочности и водостойкости готовой конструкции.</t>
        </is>
      </c>
      <c r="I192" s="8" t="inlineStr">
        <is>
          <t>600 г</t>
        </is>
      </c>
      <c r="J192" s="8" t="inlineStr">
        <is>
          <t>Дозировка на 1 м 3 бетона*
600-900 г</t>
        </is>
      </c>
      <c r="K192" s="8" t="inlineStr"/>
      <c r="L192" s="8" t="inlineStr">
        <is>
          <t>https://osnovit.ru/catalog/dobavki-v-rastvory/fibra-polipropilenovaya-osnovit-seyfskrin-fpp12_600/</t>
        </is>
      </c>
    </row>
    <row r="193">
      <c r="A193" s="8" t="inlineStr">
        <is>
          <t>Основит</t>
        </is>
      </c>
      <c r="B193" s="8" t="inlineStr">
        <is>
          <t>product</t>
        </is>
      </c>
      <c r="C193" s="8" t="inlineStr">
        <is>
          <t>Средство для удаления высолов Основит Сэйфскрин SAD1 5 л</t>
        </is>
      </c>
      <c r="D193" s="8" t="inlineStr">
        <is>
          <t>Основит Сэйфскрин SAD1</t>
        </is>
      </c>
      <c r="E193" s="8" t="inlineStr">
        <is>
          <t>5 л</t>
        </is>
      </c>
      <c r="F193" s="8" t="inlineStr">
        <is>
          <t>efflorescence_remover</t>
        </is>
      </c>
      <c r="G193" s="8" t="inlineStr">
        <is>
          <t>no</t>
        </is>
      </c>
      <c r="H193" s="8" t="inlineStr">
        <is>
          <t>Средство для удаления высолов ОСНОВИТ СЭЙФСКИН SАD1 предназначено для очистки солевых отложений (высолов), цементного и известкового налёта, остатков цементного раствора и атмосферных загрязнений.</t>
        </is>
      </c>
      <c r="I193" s="8" t="inlineStr">
        <is>
          <t>Объём упаковки
5 л</t>
        </is>
      </c>
      <c r="J193" s="8" t="inlineStr">
        <is>
          <t>от 100 мл/м²</t>
        </is>
      </c>
      <c r="K193" s="8" t="inlineStr"/>
      <c r="L193" s="8" t="inlineStr">
        <is>
          <t>https://osnovit.ru/catalog/spetsialnye-rastvory/seyfskin-sad1/</t>
        </is>
      </c>
    </row>
    <row r="194">
      <c r="A194" s="8" t="inlineStr">
        <is>
          <t>Основит</t>
        </is>
      </c>
      <c r="B194" s="8" t="inlineStr">
        <is>
          <t>product</t>
        </is>
      </c>
      <c r="C194" s="8" t="inlineStr">
        <is>
          <t>Очиститель межплиточных швов Основит Сэйфскрин SAL1 750 мл</t>
        </is>
      </c>
      <c r="D194" s="8" t="inlineStr">
        <is>
          <t>Основит Сэйфскрин SAL1</t>
        </is>
      </c>
      <c r="E194" s="8" t="inlineStr">
        <is>
          <t>750 мл</t>
        </is>
      </c>
      <c r="F194" s="8" t="inlineStr">
        <is>
          <t>cleaning_care</t>
        </is>
      </c>
      <c r="G194" s="8" t="inlineStr">
        <is>
          <t>no</t>
        </is>
      </c>
      <c r="H194" s="8" t="inlineStr">
        <is>
          <t>Очиститель межплиточных швов ОСНОВИТ предназначен для удаления масла, жира, грязи, сажи, известкового налета и прочих загрязнений, в том числе въевшихся из швов напольной и настенной плитки.</t>
        </is>
      </c>
      <c r="I194" s="8" t="inlineStr">
        <is>
          <t>750 мл</t>
        </is>
      </c>
      <c r="J194" s="8" t="inlineStr"/>
      <c r="K194" s="8" t="inlineStr"/>
      <c r="L194" s="8" t="inlineStr">
        <is>
          <t>https://osnovit.ru/catalog/osnovit-home/seyfskrin-sal1/</t>
        </is>
      </c>
    </row>
    <row r="195">
      <c r="A195" s="8" t="inlineStr">
        <is>
          <t>Основит</t>
        </is>
      </c>
      <c r="B195" s="8" t="inlineStr">
        <is>
          <t>product</t>
        </is>
      </c>
      <c r="C195" s="8" t="inlineStr">
        <is>
          <t>Очиститель плитки Основит Сэйфскрин SAL2 750 мл</t>
        </is>
      </c>
      <c r="D195" s="8" t="inlineStr">
        <is>
          <t>Основит Сэйфскрин SAL2</t>
        </is>
      </c>
      <c r="E195" s="8" t="inlineStr">
        <is>
          <t>750 мл</t>
        </is>
      </c>
      <c r="F195" s="8" t="inlineStr">
        <is>
          <t>cleaning_care</t>
        </is>
      </c>
      <c r="G195" s="8" t="inlineStr">
        <is>
          <t>no</t>
        </is>
      </c>
      <c r="H195" s="8" t="inlineStr">
        <is>
          <t>Очиститель плитки ОСНОВИТ предназначен для удаления известковых и водяных пятен, остатков мыла, грязи и других малозаметных отложений после ремонтных работ и для поддержания чистоты во время эксплуатации.</t>
        </is>
      </c>
      <c r="I195" s="8" t="inlineStr">
        <is>
          <t>750 мл</t>
        </is>
      </c>
      <c r="J195" s="8" t="inlineStr"/>
      <c r="K195" s="8" t="inlineStr"/>
      <c r="L195" s="8" t="inlineStr">
        <is>
          <t>https://osnovit.ru/catalog/osnovit-home/seyfskrin-sal2/</t>
        </is>
      </c>
    </row>
    <row r="196">
      <c r="A196" s="8" t="inlineStr">
        <is>
          <t>Основит</t>
        </is>
      </c>
      <c r="B196" s="8" t="inlineStr">
        <is>
          <t>product</t>
        </is>
      </c>
      <c r="C196" s="8" t="inlineStr">
        <is>
          <t>Средство-концентрат противогрибковое Основит Сэйфскрин SBD1 1 л</t>
        </is>
      </c>
      <c r="D196" s="8" t="inlineStr">
        <is>
          <t>Основит Сэйфскрин SBD1</t>
        </is>
      </c>
      <c r="E196" s="8" t="inlineStr">
        <is>
          <t>1 л</t>
        </is>
      </c>
      <c r="F196" s="8" t="inlineStr">
        <is>
          <t>cleaning_care</t>
        </is>
      </c>
      <c r="G196" s="8" t="inlineStr">
        <is>
          <t>no</t>
        </is>
      </c>
      <c r="H196" s="8" t="inlineStr">
        <is>
          <t>Противогрибковое средство-концентрат СЭЙФСКРИН SBD1 предназначено для уничтожения грибков, плесени, лишайников, мхов, водорослей и бактерий на заражённых минеральных основаниях.</t>
        </is>
      </c>
      <c r="I196" s="8" t="inlineStr">
        <is>
          <t>Сэйфскрин SBD1 1 л</t>
        </is>
      </c>
      <c r="J196" s="8" t="inlineStr">
        <is>
          <t>50-100 мл/ м²</t>
        </is>
      </c>
      <c r="K196" s="8" t="inlineStr"/>
      <c r="L196" s="8" t="inlineStr">
        <is>
          <t>https://osnovit.ru/catalog/spetsialnye-rastvory/seyfskrin-svd1/</t>
        </is>
      </c>
    </row>
    <row r="197">
      <c r="A197" s="8" t="inlineStr">
        <is>
          <t>Основит</t>
        </is>
      </c>
      <c r="B197" s="8" t="inlineStr">
        <is>
          <t>product</t>
        </is>
      </c>
      <c r="C197" s="8" t="inlineStr">
        <is>
          <t>Антиплесень Основит Сэйфскрин SBD1 750 мл</t>
        </is>
      </c>
      <c r="D197" s="8" t="inlineStr">
        <is>
          <t>Основит Сэйфскрин SBD1</t>
        </is>
      </c>
      <c r="E197" s="8" t="inlineStr">
        <is>
          <t>750 мл</t>
        </is>
      </c>
      <c r="F197" s="8" t="inlineStr">
        <is>
          <t>cleaning_care</t>
        </is>
      </c>
      <c r="G197" s="8" t="inlineStr">
        <is>
          <t>no</t>
        </is>
      </c>
      <c r="H197" s="8" t="inlineStr">
        <is>
          <t>для быстрого и эффективного уничтожения грибков, плесени, лишайников, мхов, водорослей и бактерий на заражённых основаниях</t>
        </is>
      </c>
      <c r="I197" s="8" t="inlineStr">
        <is>
          <t>750 мл</t>
        </is>
      </c>
      <c r="J197" s="8" t="inlineStr"/>
      <c r="K197" s="8" t="inlineStr"/>
      <c r="L197" s="8" t="inlineStr">
        <is>
          <t>https://osnovit.ru/catalog/osnovit-home/antiplesen-seyfskrin-sbd1/</t>
        </is>
      </c>
    </row>
    <row r="198">
      <c r="A198" s="8" t="inlineStr">
        <is>
          <t>Основит</t>
        </is>
      </c>
      <c r="B198" s="8" t="inlineStr">
        <is>
          <t>product</t>
        </is>
      </c>
      <c r="C198" s="8" t="inlineStr">
        <is>
          <t>Удалитель плесени Основит Сэйфскрин SBD2 750 мл</t>
        </is>
      </c>
      <c r="D198" s="8" t="inlineStr">
        <is>
          <t>Основит Сэйфскрин SBD2</t>
        </is>
      </c>
      <c r="E198" s="8" t="inlineStr">
        <is>
          <t>750 мл</t>
        </is>
      </c>
      <c r="F198" s="8" t="inlineStr">
        <is>
          <t>cleaning_care</t>
        </is>
      </c>
      <c r="G198" s="8" t="inlineStr">
        <is>
          <t>no</t>
        </is>
      </c>
      <c r="H198" s="8" t="inlineStr">
        <is>
          <t>Удалитель плесени ОСНОВИТ предназначен для быстрого и безвредного уничтожения грибков, плесени, лишайников, мхов, водорослей и бактерий на заражённых основаниях.</t>
        </is>
      </c>
      <c r="I198" s="8" t="inlineStr">
        <is>
          <t>750 мл</t>
        </is>
      </c>
      <c r="J198" s="8" t="inlineStr"/>
      <c r="K198" s="8" t="inlineStr"/>
      <c r="L198" s="8" t="inlineStr">
        <is>
          <t>https://osnovit.ru/catalog/osnovit-home/seyfskrin-sbd2/</t>
        </is>
      </c>
    </row>
    <row r="199">
      <c r="A199" s="8" t="inlineStr">
        <is>
          <t>Основит</t>
        </is>
      </c>
      <c r="B199" s="8" t="inlineStr">
        <is>
          <t>product</t>
        </is>
      </c>
      <c r="C199" s="8" t="inlineStr">
        <is>
          <t>Удалитель цемента Основит Сэйфскрин SGL1 750 мл</t>
        </is>
      </c>
      <c r="D199" s="8" t="inlineStr">
        <is>
          <t>Основит Сэйфскрин SGL1</t>
        </is>
      </c>
      <c r="E199" s="8" t="inlineStr">
        <is>
          <t>750 мл</t>
        </is>
      </c>
      <c r="F199" s="8" t="inlineStr">
        <is>
          <t>cleaning_care</t>
        </is>
      </c>
      <c r="G199" s="8" t="inlineStr">
        <is>
          <t>no</t>
        </is>
      </c>
      <c r="H199" s="8" t="inlineStr">
        <is>
          <t>Средство для удаления цемента ОСНОВИТ предназначено для быстрого и легкого очищения затвердевшего бетона, цемента, гипсовых и известковых растворов, штукатурок, полимерных шпаклевок, плиточных клеев, затирок, ВД красок и высолов с любого типа поверхности, в том числе со строительного инструмента.</t>
        </is>
      </c>
      <c r="I199" s="8" t="inlineStr">
        <is>
          <t>750 мл</t>
        </is>
      </c>
      <c r="J199" s="8" t="inlineStr"/>
      <c r="K199" s="8" t="inlineStr"/>
      <c r="L199" s="8" t="inlineStr">
        <is>
          <t>https://osnovit.ru/catalog/osnovit-home/seyfskrin-sgl1/</t>
        </is>
      </c>
    </row>
    <row r="200">
      <c r="A200" s="8" t="inlineStr">
        <is>
          <t>Основит</t>
        </is>
      </c>
      <c r="B200" s="8" t="inlineStr">
        <is>
          <t>product</t>
        </is>
      </c>
      <c r="C200" s="8" t="inlineStr">
        <is>
          <t>Добавка противоморозная Основит Сэйфскрин SN1 10 л</t>
        </is>
      </c>
      <c r="D200" s="8" t="inlineStr">
        <is>
          <t>Основит Сэйфскрин SN1</t>
        </is>
      </c>
      <c r="E200" s="8" t="inlineStr">
        <is>
          <t>10 л</t>
        </is>
      </c>
      <c r="F200" s="8" t="inlineStr">
        <is>
          <t>additive</t>
        </is>
      </c>
      <c r="G200" s="8" t="inlineStr">
        <is>
          <t>no</t>
        </is>
      </c>
      <c r="H200" s="8" t="inlineStr">
        <is>
          <t>Противоморозная добавка ОСНОВИТ СЭЙФСКРИН SN1 предназначена для предотвращения замерзания воды в бетонных и цементных растворах при возведении монолитных и сборно-монолитных бетонных и железобетонных конструкций, обеспечивая гидратацию смеси в условиях отрицательных температур до начала тепловой обработки или термосного выдерживания.</t>
        </is>
      </c>
      <c r="I200" s="8" t="inlineStr">
        <is>
          <t>Сэйфскрин SN1 10 л</t>
        </is>
      </c>
      <c r="J200" s="8" t="inlineStr">
        <is>
          <t>Расход добавки при температуре, до -5°С, на 50кг
0,75л</t>
        </is>
      </c>
      <c r="K200" s="8" t="inlineStr"/>
      <c r="L200" s="8" t="inlineStr">
        <is>
          <t>https://osnovit.ru/catalog/spetsialnye-rastvory/protivomoroznaya-dobavka-osnovit-seyvskrin-snn1/</t>
        </is>
      </c>
    </row>
    <row r="201">
      <c r="A201" s="8" t="inlineStr">
        <is>
          <t>Основит</t>
        </is>
      </c>
      <c r="B201" s="8" t="inlineStr">
        <is>
          <t>product</t>
        </is>
      </c>
      <c r="C201" s="8" t="inlineStr">
        <is>
          <t>Пластификатор Основит Сэйфскрин SPp1</t>
        </is>
      </c>
      <c r="D201" s="8" t="inlineStr">
        <is>
          <t>Основит Сэйфскрин SPp1</t>
        </is>
      </c>
      <c r="E201" s="8" t="inlineStr">
        <is>
          <t>1 л / 5 л</t>
        </is>
      </c>
      <c r="F201" s="8" t="inlineStr">
        <is>
          <t>additive</t>
        </is>
      </c>
      <c r="G201" s="8" t="inlineStr">
        <is>
          <t>no</t>
        </is>
      </c>
      <c r="H201" s="8" t="inlineStr">
        <is>
          <t>Пластификатор ОСНОВИТ СЭЙФСКРИН SPp1 предназначен для добавления в бетоны и растворы. Обеспечивает пластифицирующие и водоредуцирующие свойства смеси, регулирует подвижность смеси.</t>
        </is>
      </c>
      <c r="I201" s="8" t="inlineStr">
        <is>
          <t>1л, 5 л</t>
        </is>
      </c>
      <c r="J201" s="8" t="inlineStr">
        <is>
          <t>Дозировка от массы цемента
0,2-2,0 %</t>
        </is>
      </c>
      <c r="K201" s="8" t="inlineStr"/>
      <c r="L201" s="8" t="inlineStr">
        <is>
          <t>https://osnovit.ru/catalog/dobavki-v-rastvory/plastifikator-osnovit-seyfskrin-spp1/</t>
        </is>
      </c>
    </row>
    <row r="202">
      <c r="A202" s="8" t="inlineStr">
        <is>
          <t>Основит</t>
        </is>
      </c>
      <c r="B202" s="8" t="inlineStr">
        <is>
          <t>product</t>
        </is>
      </c>
      <c r="C202" s="8" t="inlineStr">
        <is>
          <t>Гидрофобизатор Основит Сэйфскрин SSL15 5 л</t>
        </is>
      </c>
      <c r="D202" s="8" t="inlineStr">
        <is>
          <t>Основит Сэйфскрин SSL15</t>
        </is>
      </c>
      <c r="E202" s="8" t="inlineStr">
        <is>
          <t>5 л</t>
        </is>
      </c>
      <c r="F202" s="8" t="inlineStr">
        <is>
          <t>hydrophobizer</t>
        </is>
      </c>
      <c r="G202" s="8" t="inlineStr">
        <is>
          <t>no</t>
        </is>
      </c>
      <c r="H202" s="8" t="inlineStr">
        <is>
          <t>Гидрофобизатор ОСНОВИТ СЭЙФСКРИН SSl15 предназначен для придания водоотталкивающих свойств минеральным основаниям с целью снижения их впитывающей способности.</t>
        </is>
      </c>
      <c r="I202" s="8" t="inlineStr">
        <is>
          <t>Объём упаковки
5 л</t>
        </is>
      </c>
      <c r="J202" s="8" t="inlineStr">
        <is>
          <t>150 – 600 мл/м²</t>
        </is>
      </c>
      <c r="K202" s="8" t="inlineStr"/>
      <c r="L202" s="8" t="inlineStr">
        <is>
          <t>https://osnovit.ru/catalog/spetsialnye-rastvory/seyfskrin-ssl15/</t>
        </is>
      </c>
    </row>
    <row r="203">
      <c r="A203" s="8" t="inlineStr">
        <is>
          <t>Основит</t>
        </is>
      </c>
      <c r="B203" s="8" t="inlineStr">
        <is>
          <t>product</t>
        </is>
      </c>
      <c r="C203" s="8" t="inlineStr">
        <is>
          <t>Пропитка водо-грязеотталкивающая Основит Сэйфскрин SSL15 750 мл</t>
        </is>
      </c>
      <c r="D203" s="8" t="inlineStr">
        <is>
          <t>Основит Сэйфскрин SSL15</t>
        </is>
      </c>
      <c r="E203" s="8" t="inlineStr">
        <is>
          <t>750 мл</t>
        </is>
      </c>
      <c r="F203" s="8" t="inlineStr">
        <is>
          <t>hydrophobizer</t>
        </is>
      </c>
      <c r="G203" s="8" t="inlineStr">
        <is>
          <t>no</t>
        </is>
      </c>
      <c r="H203" s="8" t="inlineStr">
        <is>
          <t>Водо-грязеотталкивающая пропитка ОСНОВИТ предназначена для защиты от загрязнений, атмосферных воздействий, образований высолов, поражений грибком кирпичных и бетонных оснований, цементных и цементно-известковых штукатурок, минеральных декоративных покрытий, межплиточных швов, облицовочного камня, пено- и газобетона.</t>
        </is>
      </c>
      <c r="I203" s="8" t="inlineStr">
        <is>
          <t>750 мл</t>
        </is>
      </c>
      <c r="J203" s="8" t="inlineStr"/>
      <c r="K203" s="8" t="inlineStr"/>
      <c r="L203" s="8" t="inlineStr">
        <is>
          <t>https://osnovit.ru/catalog/osnovit-home/seyfskrin-ssl1/</t>
        </is>
      </c>
    </row>
    <row r="204">
      <c r="A204" s="8" t="inlineStr">
        <is>
          <t>Основит</t>
        </is>
      </c>
      <c r="B204" s="8" t="inlineStr">
        <is>
          <t>product</t>
        </is>
      </c>
      <c r="C204" s="8" t="inlineStr">
        <is>
          <t>Очиститель межплиточных швов ОСНОВИТ СЭЙФСКРИН ЭКСТРА SAL11</t>
        </is>
      </c>
      <c r="D204" s="8" t="inlineStr">
        <is>
          <t>Основит Сэйфскрин Экстра SAL11</t>
        </is>
      </c>
      <c r="E204" s="8" t="inlineStr"/>
      <c r="F204" s="8" t="inlineStr">
        <is>
          <t>cleaning_care</t>
        </is>
      </c>
      <c r="G204" s="8" t="inlineStr">
        <is>
          <t>no</t>
        </is>
      </c>
      <c r="H204" s="8" t="inlineStr">
        <is>
          <t>Очиститель межплиточных швов экстра ОСНОВИТ СЭЙФСКРИН ЭКСТРА SAL11 предназначен для удаления масла, жира, грязи, сажи, известкового налета и прочих загрязнений, в том числе въевшихся, застарелых, из швов напольной и настенной плитки.</t>
        </is>
      </c>
      <c r="I204" s="8" t="inlineStr"/>
      <c r="J204" s="8" t="inlineStr"/>
      <c r="K204" s="8" t="inlineStr"/>
      <c r="L204" s="8" t="inlineStr">
        <is>
          <t>https://osnovit.ru/catalog/osnovit-home/ochistitel-mezhplitochnykh-shvov-osnovit-seyfskrin-ekstra-sal11/</t>
        </is>
      </c>
    </row>
    <row r="205">
      <c r="A205" s="8" t="inlineStr">
        <is>
          <t>Основит</t>
        </is>
      </c>
      <c r="B205" s="8" t="inlineStr">
        <is>
          <t>product</t>
        </is>
      </c>
      <c r="C205" s="8" t="inlineStr">
        <is>
          <t>Очиститель плитки Основит Сэйфскрин Экстра SAL22</t>
        </is>
      </c>
      <c r="D205" s="8" t="inlineStr">
        <is>
          <t>Основит Сэйфскрин Экстра SAL22</t>
        </is>
      </c>
      <c r="E205" s="8" t="inlineStr"/>
      <c r="F205" s="8" t="inlineStr">
        <is>
          <t>cleaning_care</t>
        </is>
      </c>
      <c r="G205" s="8" t="inlineStr">
        <is>
          <t>no</t>
        </is>
      </c>
      <c r="H205" s="8" t="inlineStr">
        <is>
          <t>Очиститель плитки экстра ОСНОВИТ СЭЙФСКРИН ЭКСТРА SAL22 предназначен для удаления известковых и водяных пятен, остатков мыла, грязи и других загрязнений после ремонтных работ и для поддержания чистоты поверхностей во время эксплуатации.</t>
        </is>
      </c>
      <c r="I205" s="8" t="inlineStr"/>
      <c r="J205" s="8" t="inlineStr"/>
      <c r="K205" s="8" t="inlineStr"/>
      <c r="L205" s="8" t="inlineStr">
        <is>
          <t>https://osnovit.ru/catalog/osnovit-home/ochistitel-plitki-osnovit-seyfskrin-ekstra-sal22/</t>
        </is>
      </c>
    </row>
    <row r="206">
      <c r="A206" s="8" t="inlineStr">
        <is>
          <t>Основит</t>
        </is>
      </c>
      <c r="B206" s="8" t="inlineStr">
        <is>
          <t>product</t>
        </is>
      </c>
      <c r="C206" s="8" t="inlineStr">
        <is>
          <t>Антиплесень Основит Сэйфскрин Экстра SBD11</t>
        </is>
      </c>
      <c r="D206" s="8" t="inlineStr">
        <is>
          <t>Основит Сэйфскрин Экстра SBD11</t>
        </is>
      </c>
      <c r="E206" s="8" t="inlineStr"/>
      <c r="F206" s="8" t="inlineStr">
        <is>
          <t>cleaning_care</t>
        </is>
      </c>
      <c r="G206" s="8" t="inlineStr">
        <is>
          <t>no</t>
        </is>
      </c>
      <c r="H206" s="8" t="inlineStr">
        <is>
          <t>предназначена для быстрого и эффективного уничтожения грибков, плесени, лишайников, мхов, водорослей, бактерий, спор, а также мыльных и слизистых отложений на заражённых основаниях, после обработки поверхности предотвращает повторное появление биопоражения.</t>
        </is>
      </c>
      <c r="I206" s="8" t="inlineStr"/>
      <c r="J206" s="8" t="inlineStr"/>
      <c r="K206" s="8" t="inlineStr"/>
      <c r="L206" s="8" t="inlineStr">
        <is>
          <t>https://osnovit.ru/catalog/osnovit-home/seyfskrin-ekstra-sbd11/</t>
        </is>
      </c>
    </row>
    <row r="207">
      <c r="A207" s="8" t="inlineStr">
        <is>
          <t>Основит</t>
        </is>
      </c>
      <c r="B207" s="8" t="inlineStr">
        <is>
          <t>product</t>
        </is>
      </c>
      <c r="C207" s="8" t="inlineStr">
        <is>
          <t>Удалитель плесени Основит Сэйфскрин Экстра SBD22</t>
        </is>
      </c>
      <c r="D207" s="8" t="inlineStr">
        <is>
          <t>Основит Сэйфскрин Экстра SBD22</t>
        </is>
      </c>
      <c r="E207" s="8" t="inlineStr"/>
      <c r="F207" s="8" t="inlineStr">
        <is>
          <t>cleaning_care</t>
        </is>
      </c>
      <c r="G207" s="8" t="inlineStr">
        <is>
          <t>no</t>
        </is>
      </c>
      <c r="H207" s="8" t="inlineStr">
        <is>
          <t>Удалитель плесени экстра ОСНОВИТ СЭЙФСКРИН ЭКСТРА SBD22 предназначен для быстрого эффективного и безопасного уничтожения грибков, плесени, лишайников, мхов, водорослей и бактерий на заражённых основаниях.</t>
        </is>
      </c>
      <c r="I207" s="8" t="inlineStr"/>
      <c r="J207" s="8" t="inlineStr"/>
      <c r="K207" s="8" t="inlineStr"/>
      <c r="L207" s="8" t="inlineStr">
        <is>
          <t>https://osnovit.ru/catalog/osnovit-home/udalitel-pleseni-osnovit-seyfskrin-ekstra-sbd22-/</t>
        </is>
      </c>
    </row>
    <row r="208">
      <c r="A208" s="8" t="inlineStr">
        <is>
          <t>Основит</t>
        </is>
      </c>
      <c r="B208" s="8" t="inlineStr">
        <is>
          <t>product</t>
        </is>
      </c>
      <c r="C208" s="8" t="inlineStr">
        <is>
          <t>Удалитель цемента Основит Сэйфскрин Экстра SGL11</t>
        </is>
      </c>
      <c r="D208" s="8" t="inlineStr">
        <is>
          <t>Основит Сэйфскрин Экстра SGL11</t>
        </is>
      </c>
      <c r="E208" s="8" t="inlineStr"/>
      <c r="F208" s="8" t="inlineStr">
        <is>
          <t>cleaning_care</t>
        </is>
      </c>
      <c r="G208" s="8" t="inlineStr">
        <is>
          <t>no</t>
        </is>
      </c>
      <c r="H208" s="8" t="inlineStr">
        <is>
          <t>Удалитель цемента экстра ОСНОВИТ СЭЙФСКРИН ЭКСТРА SGL11 предназначена для быстрого и легкого очищения затвердевшего бетона, цемента, гипсовых и известковых растворов, штукатурок, полимерных шпаклевок, плиточных клеев, затирок, ВД красок и высолов с любого типа поверхности, в том числе со строительного инструмента.</t>
        </is>
      </c>
      <c r="I208" s="8" t="inlineStr">
        <is>
          <t>0,5 л; 1 л</t>
        </is>
      </c>
      <c r="J208" s="8" t="inlineStr">
        <is>
          <t>100 – 200 мл/м²</t>
        </is>
      </c>
      <c r="K208" s="8" t="inlineStr"/>
      <c r="L208" s="8" t="inlineStr">
        <is>
          <t>https://osnovit.ru/catalog/osnovit-home/udalitel-tsementa-osnovit-seyfskrin-ekstra-sgl11-/</t>
        </is>
      </c>
    </row>
    <row r="209">
      <c r="A209" s="8" t="inlineStr">
        <is>
          <t>Основит</t>
        </is>
      </c>
      <c r="B209" s="8" t="inlineStr">
        <is>
          <t>product</t>
        </is>
      </c>
      <c r="C209" s="8" t="inlineStr">
        <is>
          <t>Пропитка водо-грязеотталкивающая Основит Сэйфскрин Экстра SSL155</t>
        </is>
      </c>
      <c r="D209" s="8" t="inlineStr">
        <is>
          <t>Основит Сэйфскрин Экстра SSL155</t>
        </is>
      </c>
      <c r="E209" s="8" t="inlineStr"/>
      <c r="F209" s="8" t="inlineStr">
        <is>
          <t>hydrophobizer</t>
        </is>
      </c>
      <c r="G209" s="8" t="inlineStr">
        <is>
          <t>no</t>
        </is>
      </c>
      <c r="H209" s="8" t="inlineStr">
        <is>
          <t>Водо-грязеотталкивающая пропитка экстра ОСНОВИТ СЭЙФСКРИН ЭКСТРА SSL155 предназначена для защиты от загрязнений, атмосферных воздействий, образований высолов, поражений грибком кирпичных и бетонных оснований, цементных и цементно-известковых штукатурок, минеральных декоративных покрытий, межплиточных швов, облицовочного камня, пено- и газобетона.</t>
        </is>
      </c>
      <c r="I209" s="8" t="inlineStr"/>
      <c r="J209" s="8" t="inlineStr"/>
      <c r="K209" s="8" t="inlineStr"/>
      <c r="L209" s="8" t="inlineStr">
        <is>
          <t>https://osnovit.ru/catalog/osnovit-home/vodo-gryazeottalkivayushchaya-propitka-osnovit-seyfskrin-estra-ssl155/</t>
        </is>
      </c>
    </row>
    <row r="210">
      <c r="A210" s="8" t="inlineStr">
        <is>
          <t>Основит</t>
        </is>
      </c>
      <c r="B210" s="8" t="inlineStr">
        <is>
          <t>product</t>
        </is>
      </c>
      <c r="C210" s="8" t="inlineStr">
        <is>
          <t>Клей монтажный Основит Техно MC112 40 кг</t>
        </is>
      </c>
      <c r="D210" s="8" t="inlineStr">
        <is>
          <t>Основит Техно MC112</t>
        </is>
      </c>
      <c r="E210" s="8" t="inlineStr"/>
      <c r="F210" s="8" t="inlineStr">
        <is>
          <t>block_adhesive</t>
        </is>
      </c>
      <c r="G210" s="8" t="inlineStr">
        <is>
          <t>yes</t>
        </is>
      </c>
      <c r="H210" s="8" t="inlineStr">
        <is>
          <t>Клей монтажный ОСНОВИТ ТЕХНО MC112 предназначен для кладки стен и перегородок из блоков и плит на основе ячеистого бетона (пено- и газобетон), газосиликата и силиката.</t>
        </is>
      </c>
      <c r="I210" s="8" t="inlineStr">
        <is>
          <t>40 кг</t>
        </is>
      </c>
      <c r="J210" s="8" t="inlineStr">
        <is>
          <t>26 кг</t>
        </is>
      </c>
      <c r="K210" s="8" t="inlineStr"/>
      <c r="L210" s="8" t="inlineStr">
        <is>
          <t>https://osnovit.ru/catalog/montazhnye-klei/kley-montazhnyy-osnovit-tekhno-mc112/</t>
        </is>
      </c>
    </row>
    <row r="211">
      <c r="A211" s="8" t="inlineStr">
        <is>
          <t>Основит</t>
        </is>
      </c>
      <c r="B211" s="8" t="inlineStr">
        <is>
          <t>product</t>
        </is>
      </c>
      <c r="C211" s="8" t="inlineStr">
        <is>
          <t>Клей монтажный зимний Основит Техно MC112 F 40 кг</t>
        </is>
      </c>
      <c r="D211" s="8" t="inlineStr">
        <is>
          <t>Основит Техно MC112</t>
        </is>
      </c>
      <c r="E211" s="8" t="inlineStr">
        <is>
          <t>зима</t>
        </is>
      </c>
      <c r="F211" s="8" t="inlineStr">
        <is>
          <t>block_adhesive</t>
        </is>
      </c>
      <c r="G211" s="8" t="inlineStr">
        <is>
          <t>yes</t>
        </is>
      </c>
      <c r="H211" s="8" t="inlineStr">
        <is>
          <t>Клей монтажный ОСНОВИТ ТЕХНО MC112 F предназначен для кладки стен и перегородок из блоков и плит на основе ячеистого бетона (пено- и газобетон), газосиликата и силиката при температуре окружающей среды и основания от -10 до + 10°С.</t>
        </is>
      </c>
      <c r="I211" s="8" t="inlineStr">
        <is>
          <t>40 кг.</t>
        </is>
      </c>
      <c r="J211" s="8" t="inlineStr">
        <is>
          <t>26 кг</t>
        </is>
      </c>
      <c r="K211" s="8" t="inlineStr"/>
      <c r="L211" s="8" t="inlineStr">
        <is>
          <t>https://osnovit.ru/catalog/montazhnye-klei/kley-montazhnyy-osnovit-tekhno-mc112-f-zimniy/</t>
        </is>
      </c>
    </row>
    <row r="212">
      <c r="A212" s="8" t="inlineStr">
        <is>
          <t>Основит</t>
        </is>
      </c>
      <c r="B212" s="8" t="inlineStr">
        <is>
          <t>product</t>
        </is>
      </c>
      <c r="C212" s="8" t="inlineStr">
        <is>
          <t>Обрызг штукатурный Основит Техно PC20 M 25 кг</t>
        </is>
      </c>
      <c r="D212" s="8" t="inlineStr">
        <is>
          <t>Основит Техно PC20 M</t>
        </is>
      </c>
      <c r="E212" s="8" t="inlineStr"/>
      <c r="F212" s="8" t="inlineStr">
        <is>
          <t>plaster_facade_base</t>
        </is>
      </c>
      <c r="G212" s="8" t="inlineStr">
        <is>
          <t>yes</t>
        </is>
      </c>
      <c r="H212" s="8" t="inlineStr">
        <is>
          <t>ОСНОВИТ ТЕХНО PC20 M — цементный штукатурный обрызг для предварительной подготовки бетонных, кирпичных и других минеральных оснований перед нанесением выравнивающей штукатурки.</t>
        </is>
      </c>
      <c r="I212" s="8" t="inlineStr">
        <is>
          <t>25 кг</t>
        </is>
      </c>
      <c r="J212" s="8" t="inlineStr">
        <is>
          <t>1,6 кг/м²</t>
        </is>
      </c>
      <c r="K212" s="8" t="inlineStr"/>
      <c r="L212" s="8" t="inlineStr">
        <is>
          <t>https://osnovit.ru/catalog/shtukaturki/tekhno-pc20-m-shtukaturnyy-obryzg-osnovit/</t>
        </is>
      </c>
    </row>
    <row r="213">
      <c r="A213" s="8" t="inlineStr">
        <is>
          <t>Основит</t>
        </is>
      </c>
      <c r="B213" s="8" t="inlineStr">
        <is>
          <t>product</t>
        </is>
      </c>
      <c r="C213" s="8" t="inlineStr">
        <is>
          <t>Штукатурка цементная фасадная Основит Техно PC21 M 30 кг</t>
        </is>
      </c>
      <c r="D213" s="8" t="inlineStr">
        <is>
          <t>Основит Техно PC21 M</t>
        </is>
      </c>
      <c r="E213" s="8" t="inlineStr"/>
      <c r="F213" s="8" t="inlineStr">
        <is>
          <t>plaster_cement</t>
        </is>
      </c>
      <c r="G213" s="8" t="inlineStr">
        <is>
          <t>yes</t>
        </is>
      </c>
      <c r="H213" s="8" t="inlineStr">
        <is>
          <t>ОСНОВИТ ТЕХНО PC21 M — цементная штукатурка для выравнивания стен из бетона, кирпича, пено- и газобетона.</t>
        </is>
      </c>
      <c r="I213" s="8" t="inlineStr">
        <is>
          <t>30 кг</t>
        </is>
      </c>
      <c r="J213" s="8" t="inlineStr">
        <is>
          <t>13 кг/м2</t>
        </is>
      </c>
      <c r="K213" s="8" t="inlineStr"/>
      <c r="L213" s="8" t="inlineStr">
        <is>
          <t>https://osnovit.ru/catalog/shtukaturki/startvell-pc-21-m-shtukaturka-fasadnaya-osnovit-/</t>
        </is>
      </c>
    </row>
    <row r="214">
      <c r="A214" s="8" t="inlineStr">
        <is>
          <t>Основит</t>
        </is>
      </c>
      <c r="B214" s="8" t="inlineStr">
        <is>
          <t>product</t>
        </is>
      </c>
      <c r="C214" s="8" t="inlineStr">
        <is>
          <t>Штукатурка шпаклевка цементная Основит Техно PC23 M</t>
        </is>
      </c>
      <c r="D214" s="8" t="inlineStr">
        <is>
          <t>Основит Техно PC23 M</t>
        </is>
      </c>
      <c r="E214" s="8" t="inlineStr"/>
      <c r="F214" s="8" t="inlineStr">
        <is>
          <t>plaster_cement</t>
        </is>
      </c>
      <c r="G214" s="8" t="inlineStr">
        <is>
          <t>yes</t>
        </is>
      </c>
      <c r="H214" s="8" t="inlineStr">
        <is>
          <t>ОСНОВИТ ТЕХНО PC23 M — цементная штукатурка-шпаклевка для выравнивания стен из бетона, пено- и газобетона, а также поверхностей, ранее выровненных цементными составами.</t>
        </is>
      </c>
      <c r="I214" s="8" t="inlineStr">
        <is>
          <t>25 кг/30 кг</t>
        </is>
      </c>
      <c r="J214" s="8" t="inlineStr">
        <is>
          <t>12 кг/м²</t>
        </is>
      </c>
      <c r="K214" s="8" t="inlineStr"/>
      <c r="L214" s="8" t="inlineStr">
        <is>
          <t>https://osnovit.ru/catalog/shtukaturki/tekhno-pc23-m/</t>
        </is>
      </c>
    </row>
    <row r="215">
      <c r="A215" s="8" t="inlineStr">
        <is>
          <t>Основит</t>
        </is>
      </c>
      <c r="B215" s="8" t="inlineStr">
        <is>
          <t>product</t>
        </is>
      </c>
      <c r="C215" s="8" t="inlineStr">
        <is>
          <t>Штукатурка цементная Основит Техно PC24/1 ML 25 кг</t>
        </is>
      </c>
      <c r="D215" s="8" t="inlineStr">
        <is>
          <t>Основит Техно PC24/1 ML</t>
        </is>
      </c>
      <c r="E215" s="8" t="inlineStr"/>
      <c r="F215" s="8" t="inlineStr">
        <is>
          <t>plaster_cement</t>
        </is>
      </c>
      <c r="G215" s="8" t="inlineStr">
        <is>
          <t>yes</t>
        </is>
      </c>
      <c r="H215" s="8" t="inlineStr">
        <is>
          <t>ОСНОВИТ ТЕХНО PC24/1 ML — легкая цементная штукатурка на основе перлита для выравнивания стен из бетона, кирпича, пено- и газобетона.</t>
        </is>
      </c>
      <c r="I215" s="8" t="inlineStr">
        <is>
          <t>25 кг</t>
        </is>
      </c>
      <c r="J215" s="8" t="inlineStr">
        <is>
          <t>10-11 кг/м²</t>
        </is>
      </c>
      <c r="K215" s="8" t="inlineStr"/>
      <c r="L215" s="8" t="inlineStr">
        <is>
          <t>https://osnovit.ru/catalog/seria-techno/tsementnaya-shtukaturka-osnovit-tekhno-pc24-1-ml/</t>
        </is>
      </c>
    </row>
    <row r="216">
      <c r="A216" s="8" t="inlineStr">
        <is>
          <t>Основит</t>
        </is>
      </c>
      <c r="B216" s="8" t="inlineStr">
        <is>
          <t>product</t>
        </is>
      </c>
      <c r="C216" s="8" t="inlineStr">
        <is>
          <t>Штукатурка гипсовая белая Основит Техно PG26/1 MW 30 кг</t>
        </is>
      </c>
      <c r="D216" s="8" t="inlineStr">
        <is>
          <t>Основит Техно PG26/1 M</t>
        </is>
      </c>
      <c r="E216" s="8" t="inlineStr">
        <is>
          <t>белая</t>
        </is>
      </c>
      <c r="F216" s="8" t="inlineStr">
        <is>
          <t>plaster_gypsum</t>
        </is>
      </c>
      <c r="G216" s="8" t="inlineStr">
        <is>
          <t>yes</t>
        </is>
      </c>
      <c r="H216" s="8" t="inlineStr">
        <is>
          <t>ОСНОВИТ ТЕХНО PG26/1 MW — белая гипсовая штукатурка для выравнивания стен и потолков в помещениях с нормальной влажностью.</t>
        </is>
      </c>
      <c r="I216" s="8" t="inlineStr">
        <is>
          <t>30 кг</t>
        </is>
      </c>
      <c r="J216" s="8" t="inlineStr">
        <is>
          <t>10-11 кг/м²</t>
        </is>
      </c>
      <c r="K216" s="8" t="inlineStr"/>
      <c r="L216" s="8" t="inlineStr">
        <is>
          <t>https://osnovit.ru/catalog/shtukaturki/gipsovaya-shtukaturka-belaya-osnovit-tekhno-pg26-1-mw/</t>
        </is>
      </c>
    </row>
    <row r="217">
      <c r="A217" s="8" t="inlineStr">
        <is>
          <t>Основит</t>
        </is>
      </c>
      <c r="B217" s="8" t="inlineStr">
        <is>
          <t>product</t>
        </is>
      </c>
      <c r="C217" s="8" t="inlineStr">
        <is>
          <t>Штукатурка гипсовая Основит Техно PG26/1 M 30 кг</t>
        </is>
      </c>
      <c r="D217" s="8" t="inlineStr">
        <is>
          <t>Основит Техно PG26/1 M</t>
        </is>
      </c>
      <c r="E217" s="8" t="inlineStr">
        <is>
          <t>серая</t>
        </is>
      </c>
      <c r="F217" s="8" t="inlineStr">
        <is>
          <t>plaster_gypsum</t>
        </is>
      </c>
      <c r="G217" s="8" t="inlineStr">
        <is>
          <t>yes</t>
        </is>
      </c>
      <c r="H217" s="8" t="inlineStr">
        <is>
          <t>ОСНОВИТ ТЕХНО PG26/1 M — гипсовая штукатурка серого цвета для выравнивания стен и потолков внутри помещений с нормальной влажностью.</t>
        </is>
      </c>
      <c r="I217" s="8" t="inlineStr">
        <is>
          <t>30 кг</t>
        </is>
      </c>
      <c r="J217" s="8" t="inlineStr">
        <is>
          <t>10 - 11 кг/м²</t>
        </is>
      </c>
      <c r="K217" s="8" t="inlineStr"/>
      <c r="L217" s="8" t="inlineStr">
        <is>
          <t>https://osnovit.ru/catalog/shtukaturki/gipsovaya-shtukaturka-osnovit-tekhno-pg26-1-m/</t>
        </is>
      </c>
    </row>
    <row r="218">
      <c r="A218" s="8" t="inlineStr">
        <is>
          <t>Основит</t>
        </is>
      </c>
      <c r="B218" s="8" t="inlineStr">
        <is>
          <t>product</t>
        </is>
      </c>
      <c r="C218" s="8" t="inlineStr">
        <is>
          <t>Штукатурка универсальная влагостойкая Основит Техно PK27 M 30 кг</t>
        </is>
      </c>
      <c r="D218" s="8" t="inlineStr">
        <is>
          <t>Основит Техно PK27 M</t>
        </is>
      </c>
      <c r="E218" s="8" t="inlineStr"/>
      <c r="F218" s="8" t="inlineStr">
        <is>
          <t>plaster_gypsum</t>
        </is>
      </c>
      <c r="G218" s="8" t="inlineStr">
        <is>
          <t>yes</t>
        </is>
      </c>
      <c r="H218" s="8" t="inlineStr">
        <is>
          <t>ОСНОВИТ ТЕХНО PK27 M — универсальная влагостойкая гипсовая штукатурка для выравнивания стен и потолков в помещениях с нормальной и повышенной влажностью.</t>
        </is>
      </c>
      <c r="I218" s="8" t="inlineStr">
        <is>
          <t>30 кг</t>
        </is>
      </c>
      <c r="J218" s="8" t="inlineStr">
        <is>
          <t>10-11 кг/м²</t>
        </is>
      </c>
      <c r="K218" s="8" t="inlineStr">
        <is>
          <t>Новинка</t>
        </is>
      </c>
      <c r="L218" s="8" t="inlineStr">
        <is>
          <t>https://osnovit.ru/catalog/shtukaturki/shtukaturka-universalnaya-vlagostoykaya-tekhno-pk27-m/</t>
        </is>
      </c>
    </row>
    <row r="219">
      <c r="A219" s="8" t="inlineStr">
        <is>
          <t>Основит</t>
        </is>
      </c>
      <c r="B219" s="8" t="inlineStr">
        <is>
          <t>product</t>
        </is>
      </c>
      <c r="C219" s="8" t="inlineStr">
        <is>
          <t>Штукатурка универсальная влагостойкая белая Основит Техно PK271 MW 30 кг</t>
        </is>
      </c>
      <c r="D219" s="8" t="inlineStr">
        <is>
          <t>Основит Техно PK271 MW</t>
        </is>
      </c>
      <c r="E219" s="8" t="inlineStr">
        <is>
          <t>белая</t>
        </is>
      </c>
      <c r="F219" s="8" t="inlineStr">
        <is>
          <t>plaster_gypsum</t>
        </is>
      </c>
      <c r="G219" s="8" t="inlineStr">
        <is>
          <t>yes</t>
        </is>
      </c>
      <c r="H219" s="8" t="inlineStr">
        <is>
          <t>ОСНОВИТ ТЕХНО PK271 MW — белая влагостойкая гипсовая штукатурка для выравнивания стен и потолков в помещениях с нормальной и повышенной влажностью.</t>
        </is>
      </c>
      <c r="I219" s="8" t="inlineStr">
        <is>
          <t>30 кг, 40 кг</t>
        </is>
      </c>
      <c r="J219" s="8" t="inlineStr">
        <is>
          <t>10 - 11 кг/м²</t>
        </is>
      </c>
      <c r="K219" s="8" t="inlineStr">
        <is>
          <t>Новинка</t>
        </is>
      </c>
      <c r="L219" s="8" t="inlineStr">
        <is>
          <t>https://osnovit.ru/catalog/seria-techno/shtukaturka-universalnaya-vlagostoykaya-belaya-tekhno-pk271-mw/</t>
        </is>
      </c>
    </row>
    <row r="220">
      <c r="A220" s="8" t="inlineStr">
        <is>
          <t>Основит</t>
        </is>
      </c>
      <c r="B220" s="8" t="inlineStr">
        <is>
          <t>product</t>
        </is>
      </c>
      <c r="C220" s="8" t="inlineStr">
        <is>
          <t>Краска интерьерная супербелая Основит Техно Лайтколор САс995 СМ2</t>
        </is>
      </c>
      <c r="D220" s="8" t="inlineStr">
        <is>
          <t>Основит Техно Лайтколор САс995 СМ2</t>
        </is>
      </c>
      <c r="E220" s="8" t="inlineStr"/>
      <c r="F220" s="8" t="inlineStr">
        <is>
          <t>paint</t>
        </is>
      </c>
      <c r="G220" s="8" t="inlineStr">
        <is>
          <t>no</t>
        </is>
      </c>
      <c r="H220" s="8" t="inlineStr">
        <is>
          <t>Предназначена для окрашивания стен и потолков в помещениях с нормальной и повышенной влажностью.</t>
        </is>
      </c>
      <c r="I220" s="8" t="inlineStr">
        <is>
          <t>25 кг, 14 кг</t>
        </is>
      </c>
      <c r="J220" s="8" t="inlineStr">
        <is>
          <t>6–8 м 2 /кг</t>
        </is>
      </c>
      <c r="K220" s="8" t="inlineStr">
        <is>
          <t>Колеровка</t>
        </is>
      </c>
      <c r="L220" s="8" t="inlineStr">
        <is>
          <t>https://osnovit.ru/catalog/kraski/tekhno-laytkolor-sas995-sm2/</t>
        </is>
      </c>
    </row>
    <row r="221">
      <c r="A221" s="8" t="inlineStr">
        <is>
          <t>Основит</t>
        </is>
      </c>
      <c r="B221" s="8" t="inlineStr">
        <is>
          <t>product</t>
        </is>
      </c>
      <c r="C221" s="8" t="inlineStr">
        <is>
          <t>Краска интерьерная негорючая Основит Техно Профколор CST993 CM2 KM0</t>
        </is>
      </c>
      <c r="D221" s="8" t="inlineStr">
        <is>
          <t>Основит Техно Профколор CST993 CM2 KM0</t>
        </is>
      </c>
      <c r="E221" s="8" t="inlineStr"/>
      <c r="F221" s="8" t="inlineStr">
        <is>
          <t>paint</t>
        </is>
      </c>
      <c r="G221" s="8" t="inlineStr">
        <is>
          <t>no</t>
        </is>
      </c>
      <c r="H221" s="8" t="inlineStr">
        <is>
          <t>Краска КМ0 силикатная применяется для окрашивания поверхностей стен и потолков в помещениях с высокими требованиями пожарной безопасности (многоэтажные здания, пути эвакуации, учебные и лечебные учреждения, концертные залы, коридоры, лифты, подвалы, склады, гаражи, бизнес-центры, магазины и т.д.).</t>
        </is>
      </c>
      <c r="I221" s="8" t="inlineStr">
        <is>
          <t>25 кг, 14 кг</t>
        </is>
      </c>
      <c r="J221" s="8" t="inlineStr">
        <is>
          <t>4 м 2 /кг</t>
        </is>
      </c>
      <c r="K221" s="8" t="inlineStr">
        <is>
          <t>Колеровка</t>
        </is>
      </c>
      <c r="L221" s="8" t="inlineStr">
        <is>
          <t>https://osnovit.ru/catalog/kraski/kraska-interernaya-negoryuchaya-dlya-sten-i-potolkov-osnovit-tekhno-profkolor-cst993-cm2-km0/</t>
        </is>
      </c>
    </row>
    <row r="222">
      <c r="A222" s="8" t="inlineStr">
        <is>
          <t>Основит</t>
        </is>
      </c>
      <c r="B222" s="8" t="inlineStr">
        <is>
          <t>product</t>
        </is>
      </c>
      <c r="C222" s="8" t="inlineStr">
        <is>
          <t>Краска интерьерная негорючая Основит Техно Профколор CST995 CM2 KM0</t>
        </is>
      </c>
      <c r="D222" s="8" t="inlineStr">
        <is>
          <t>Основит Техно Профколор CST995 CM2 KM0</t>
        </is>
      </c>
      <c r="E222" s="8" t="inlineStr"/>
      <c r="F222" s="8" t="inlineStr">
        <is>
          <t>paint</t>
        </is>
      </c>
      <c r="G222" s="8" t="inlineStr">
        <is>
          <t>no</t>
        </is>
      </c>
      <c r="H222" s="8" t="inlineStr">
        <is>
          <t>применяется для окрашивания поверхностей стен и потолков в помещениях с высокими требованиями к пожарной безопасности (многоэтажные здания, пути эвакуации, учебные и лечебные учреждения, концертные залы, коридоры, лифты, подвалы, склады, гаражи, бизнес-центры, магазины и т.д.).</t>
        </is>
      </c>
      <c r="I222" s="8" t="inlineStr">
        <is>
          <t>25 кг, 14 кг</t>
        </is>
      </c>
      <c r="J222" s="8" t="inlineStr">
        <is>
          <t>4 м 2 /кг</t>
        </is>
      </c>
      <c r="K222" s="8" t="inlineStr"/>
      <c r="L222" s="8" t="inlineStr">
        <is>
          <t>https://osnovit.ru/catalog/kraski/kraska-interernaya-negoryuchaya-dlya-sten-i-potolkov-osnovit-tekhno-profkolor-cst995-cm2-km0/</t>
        </is>
      </c>
    </row>
    <row r="223">
      <c r="A223" s="8" t="inlineStr">
        <is>
          <t>Основит</t>
        </is>
      </c>
      <c r="B223" s="8" t="inlineStr">
        <is>
          <t>product</t>
        </is>
      </c>
      <c r="C223" s="8" t="inlineStr">
        <is>
          <t>Краска интерьерная силикатная негорючая текстурная Основит Техно Профколор CSt 990 T КМ0</t>
        </is>
      </c>
      <c r="D223" s="8" t="inlineStr">
        <is>
          <t>Основит Техно Профколор CSt 990 T КМ0</t>
        </is>
      </c>
      <c r="E223" s="8" t="inlineStr"/>
      <c r="F223" s="8" t="inlineStr">
        <is>
          <t>paint</t>
        </is>
      </c>
      <c r="G223" s="8" t="inlineStr">
        <is>
          <t>no</t>
        </is>
      </c>
      <c r="H223" s="8" t="inlineStr">
        <is>
          <t>применяется для окрашивания поверхностей стен и потолков и создания финишного эксплуатируемого защитно-декоративного белого или цветного фактурного покрытия в помещениях с высокими требованиями пожарной безопасности (многоэтажные здания, пути эвакуации, учебные и лечебные учреждения, концертные залы, коридоры, лифты, подвалы, склады, гаражи, бизнес-центры, магазины и т.д.).</t>
        </is>
      </c>
      <c r="I223" s="8" t="inlineStr">
        <is>
          <t>25 кг, 14 кг</t>
        </is>
      </c>
      <c r="J223" s="8" t="inlineStr">
        <is>
          <t>0,5–2 м 2 /кг</t>
        </is>
      </c>
      <c r="K223" s="8" t="inlineStr">
        <is>
          <t>Колеровка</t>
        </is>
      </c>
      <c r="L223" s="8" t="inlineStr">
        <is>
          <t>https://osnovit.ru/catalog/kraski/kraska-interernaya-cilikatnaya-negoryuchaya-dlya-sten-i-potolkov-osnovit-tekhno-profkolor-cst-990-t-/</t>
        </is>
      </c>
    </row>
    <row r="224">
      <c r="A224" s="8" t="inlineStr">
        <is>
          <t>Основит</t>
        </is>
      </c>
      <c r="B224" s="8" t="inlineStr">
        <is>
          <t>product</t>
        </is>
      </c>
      <c r="C224" s="8" t="inlineStr">
        <is>
          <t>Краска интерьерная негорючая структурная Основит Техно Профколор CSt990 S КМ0</t>
        </is>
      </c>
      <c r="D224" s="8" t="inlineStr">
        <is>
          <t>Основит Техно Профколор CSt990 S КМ0</t>
        </is>
      </c>
      <c r="E224" s="8" t="inlineStr"/>
      <c r="F224" s="8" t="inlineStr">
        <is>
          <t>paint</t>
        </is>
      </c>
      <c r="G224" s="8" t="inlineStr">
        <is>
          <t>no</t>
        </is>
      </c>
      <c r="H224" s="8" t="inlineStr">
        <is>
          <t>применяется для окрашивания поверхностей стен и потолков и создания финишного эксплуатируемого защитно-декоративного белого или цветного фактурного покрытия в помещениях с высокими требованиями пожарной безопасности (многоэтажные здания, пути эвакуации, учебные и лечебные учреждения, концертные залы, коридоры, лифты, подвалы, склады, гаражи, бизнес-центры, магазины и т.д.).</t>
        </is>
      </c>
      <c r="I224" s="8" t="inlineStr">
        <is>
          <t>25 кг, 14 кг</t>
        </is>
      </c>
      <c r="J224" s="8" t="inlineStr">
        <is>
          <t>0,5–2 м 2 /кг</t>
        </is>
      </c>
      <c r="K224" s="8" t="inlineStr"/>
      <c r="L224" s="8" t="inlineStr">
        <is>
          <t>https://osnovit.ru/catalog/kraski/kraska-interernaya-negoryuchaya-strukturnaya-dlya-sten-i-potolkov-osnovit-tekhno-profkolor-cst990-s-/</t>
        </is>
      </c>
    </row>
    <row r="225">
      <c r="A225" s="8" t="inlineStr">
        <is>
          <t>Основит</t>
        </is>
      </c>
      <c r="B225" s="8" t="inlineStr">
        <is>
          <t>product</t>
        </is>
      </c>
      <c r="C225" s="8" t="inlineStr">
        <is>
          <t>Краска интерьерная Основит Техно Техколор CAc990 S 25 кг</t>
        </is>
      </c>
      <c r="D225" s="8" t="inlineStr">
        <is>
          <t>Основит Техно Техколор CAc990 S</t>
        </is>
      </c>
      <c r="E225" s="8" t="inlineStr">
        <is>
          <t>25 кг</t>
        </is>
      </c>
      <c r="F225" s="8" t="inlineStr">
        <is>
          <t>paint</t>
        </is>
      </c>
      <c r="G225" s="8" t="inlineStr">
        <is>
          <t>no</t>
        </is>
      </c>
      <c r="H225" s="8" t="inlineStr">
        <is>
          <t>предназначена для создания декоративно-защитного структурного покрытия на стенах и потолках в помещениях с нормальной и повышенной влажностью.</t>
        </is>
      </c>
      <c r="I225" s="8" t="inlineStr">
        <is>
          <t>25 кг</t>
        </is>
      </c>
      <c r="J225" s="8" t="inlineStr">
        <is>
          <t>1-1,2 м 2 /кг</t>
        </is>
      </c>
      <c r="K225" s="8" t="inlineStr">
        <is>
          <t>Колеровка</t>
        </is>
      </c>
      <c r="L225" s="8" t="inlineStr">
        <is>
          <t>https://osnovit.ru/catalog/kraski/kraska-interernaya-osnovit-tekhno-tekhkolor-cac990-s-/</t>
        </is>
      </c>
    </row>
    <row r="226">
      <c r="A226" s="8" t="inlineStr">
        <is>
          <t>Основит</t>
        </is>
      </c>
      <c r="B226" s="8" t="inlineStr">
        <is>
          <t>product</t>
        </is>
      </c>
      <c r="C226" s="8" t="inlineStr">
        <is>
          <t>Краска интерьерная моющаяся Основит Техно Техколор СAc993 СМ2 25 кг</t>
        </is>
      </c>
      <c r="D226" s="8" t="inlineStr">
        <is>
          <t>Основит Техно Техколор СAc993 СМ2</t>
        </is>
      </c>
      <c r="E226" s="8" t="inlineStr">
        <is>
          <t>25 кг</t>
        </is>
      </c>
      <c r="F226" s="8" t="inlineStr">
        <is>
          <t>paint</t>
        </is>
      </c>
      <c r="G226" s="8" t="inlineStr">
        <is>
          <t>no</t>
        </is>
      </c>
      <c r="H226" s="8" t="inlineStr">
        <is>
          <t>Предназначена для окрашивания стен и потолков в помещениях с нормальной и повышенной влажностью.</t>
        </is>
      </c>
      <c r="I226" s="8" t="inlineStr">
        <is>
          <t>25 кг, 14 кг</t>
        </is>
      </c>
      <c r="J226" s="8" t="inlineStr">
        <is>
          <t>5,5–8 м 2 /кг</t>
        </is>
      </c>
      <c r="K226" s="8" t="inlineStr">
        <is>
          <t>Колеровка</t>
        </is>
      </c>
      <c r="L226" s="8" t="inlineStr">
        <is>
          <t>https://osnovit.ru/catalog/kraski/tekhno-tekhkolor-sac993-sm2/</t>
        </is>
      </c>
    </row>
    <row r="227">
      <c r="A227" s="8" t="inlineStr">
        <is>
          <t>Основит</t>
        </is>
      </c>
      <c r="B227" s="8" t="inlineStr">
        <is>
          <t>product</t>
        </is>
      </c>
      <c r="C227" s="8" t="inlineStr">
        <is>
          <t>Грунт укрывающий Основит Техно Техконт LP58</t>
        </is>
      </c>
      <c r="D227" s="8" t="inlineStr">
        <is>
          <t>Основит Техно Техконт LP58</t>
        </is>
      </c>
      <c r="E227" s="8" t="inlineStr"/>
      <c r="F227" s="8" t="inlineStr">
        <is>
          <t>primer</t>
        </is>
      </c>
      <c r="G227" s="8" t="inlineStr">
        <is>
          <t>no</t>
        </is>
      </c>
      <c r="H227" s="8" t="inlineStr">
        <is>
          <t>Грунт укрывающий ОСНОВИТ ТЕХНО ТЕХКОНТ LP58 предназначен для подготовки минерального основания, особенно рекомендуется для гипсового основания, для нанесения силикатных красок ОСНОВИТ класса горючести НГ.</t>
        </is>
      </c>
      <c r="I227" s="8" t="inlineStr">
        <is>
          <t>25 кг, 14 кг</t>
        </is>
      </c>
      <c r="J227" s="8" t="inlineStr">
        <is>
          <t>6,5–7 м 2 /кг</t>
        </is>
      </c>
      <c r="K227" s="8" t="inlineStr"/>
      <c r="L227" s="8" t="inlineStr">
        <is>
          <t>https://osnovit.ru/catalog/kraski/grunt-ukryvayushchiy-osnovit-tekhkont-lp58/</t>
        </is>
      </c>
    </row>
    <row r="228">
      <c r="A228" s="8" t="inlineStr">
        <is>
          <t>Основит</t>
        </is>
      </c>
      <c r="B228" s="8" t="inlineStr">
        <is>
          <t>product</t>
        </is>
      </c>
      <c r="C228" s="8" t="inlineStr">
        <is>
          <t>Грунт силикатный Основит Техно Техконт LSt57</t>
        </is>
      </c>
      <c r="D228" s="8" t="inlineStr">
        <is>
          <t>Основит Техно Техконт LSt57</t>
        </is>
      </c>
      <c r="E228" s="8" t="inlineStr"/>
      <c r="F228" s="8" t="inlineStr">
        <is>
          <t>primer</t>
        </is>
      </c>
      <c r="G228" s="8" t="inlineStr">
        <is>
          <t>no</t>
        </is>
      </c>
      <c r="H228" s="8" t="inlineStr">
        <is>
          <t>Грунт силикатный ОСНОВИТ ТЕХНО ТЕХКОНТ LSt57 предназначен для подготовки минеральных оснований (кроме гипсовых), под нанесение силикатных красок ОСНОВИТ класса горючести НГ.</t>
        </is>
      </c>
      <c r="I228" s="8" t="inlineStr">
        <is>
          <t>20 кг, 10 кг</t>
        </is>
      </c>
      <c r="J228" s="8" t="inlineStr">
        <is>
          <t>6,5–7 м 2 /кг</t>
        </is>
      </c>
      <c r="K228" s="8" t="inlineStr"/>
      <c r="L228" s="8" t="inlineStr">
        <is>
          <t>https://osnovit.ru/catalog/kraski/grunt-silikatnyy-osnovit-tekhkont-lst57/</t>
        </is>
      </c>
    </row>
    <row r="229">
      <c r="A229" s="8" t="inlineStr">
        <is>
          <t>Основит</t>
        </is>
      </c>
      <c r="B229" s="8" t="inlineStr">
        <is>
          <t>product</t>
        </is>
      </c>
      <c r="C229" s="8" t="inlineStr">
        <is>
          <t>Краска цементно-известковая Основит Унивита CC90 20 кг</t>
        </is>
      </c>
      <c r="D229" s="8" t="inlineStr">
        <is>
          <t>Основит Унивита CC90</t>
        </is>
      </c>
      <c r="E229" s="8" t="inlineStr">
        <is>
          <t>20 кг</t>
        </is>
      </c>
      <c r="F229" s="8" t="inlineStr">
        <is>
          <t>paint</t>
        </is>
      </c>
      <c r="G229" s="8" t="inlineStr">
        <is>
          <t>yes</t>
        </is>
      </c>
      <c r="H229" s="8" t="inlineStr">
        <is>
          <t>предназначена для окрашивания фасадов, стен и потолков в жилых, административных, коммерческих и производственных зданиях. Рекомендуется для складских, вспомогательных (бытовки, парковки и пр.) и прочих специализированных помещений.</t>
        </is>
      </c>
      <c r="I229" s="8" t="inlineStr">
        <is>
          <t>20 кг</t>
        </is>
      </c>
      <c r="J229" s="8" t="inlineStr">
        <is>
          <t>0.3 - 0.6 кг/м 2</t>
        </is>
      </c>
      <c r="K229" s="8" t="inlineStr">
        <is>
          <t>Колеровка</t>
        </is>
      </c>
      <c r="L229" s="8" t="inlineStr">
        <is>
          <t>https://osnovit.ru/catalog/kraski/univita-ss90/</t>
        </is>
      </c>
    </row>
    <row r="230">
      <c r="A230" s="8" t="inlineStr">
        <is>
          <t>Основит</t>
        </is>
      </c>
      <c r="B230" s="8" t="inlineStr">
        <is>
          <t>product</t>
        </is>
      </c>
      <c r="C230" s="8" t="inlineStr">
        <is>
          <t>Краска силиконовая фасадная Основит Унивита СSl93 9 л</t>
        </is>
      </c>
      <c r="D230" s="8" t="inlineStr">
        <is>
          <t>Основит Унивита CSl93</t>
        </is>
      </c>
      <c r="E230" s="8" t="inlineStr">
        <is>
          <t>9 л</t>
        </is>
      </c>
      <c r="F230" s="8" t="inlineStr">
        <is>
          <t>paint</t>
        </is>
      </c>
      <c r="G230" s="8" t="inlineStr">
        <is>
          <t>no</t>
        </is>
      </c>
      <c r="H230" s="8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I230" s="8" t="inlineStr">
        <is>
          <t>13 кг (9 л)</t>
        </is>
      </c>
      <c r="J230" s="8" t="inlineStr">
        <is>
          <t>4–5 м 2 /1 л</t>
        </is>
      </c>
      <c r="K230" s="8" t="inlineStr">
        <is>
          <t>Колеровка</t>
        </is>
      </c>
      <c r="L230" s="8" t="inlineStr">
        <is>
          <t>https://osnovit.ru/catalog/kraski/univita-ssl93/</t>
        </is>
      </c>
    </row>
    <row r="231">
      <c r="A231" s="8" t="inlineStr">
        <is>
          <t>Основит</t>
        </is>
      </c>
      <c r="B231" s="8" t="inlineStr">
        <is>
          <t>product</t>
        </is>
      </c>
      <c r="C231" s="8" t="inlineStr">
        <is>
          <t>Краска силиконовая фасадная с ингибитором коррозии Основит Унивита СSl93 Ic 9 л</t>
        </is>
      </c>
      <c r="D231" s="8" t="inlineStr">
        <is>
          <t>Основит Унивита CSl93 Ic</t>
        </is>
      </c>
      <c r="E231" s="8" t="inlineStr">
        <is>
          <t>9 л</t>
        </is>
      </c>
      <c r="F231" s="8" t="inlineStr">
        <is>
          <t>paint</t>
        </is>
      </c>
      <c r="G231" s="8" t="inlineStr">
        <is>
          <t>no</t>
        </is>
      </c>
      <c r="H231" s="8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I231" s="8" t="inlineStr">
        <is>
          <t>13 кг (9л)</t>
        </is>
      </c>
      <c r="J231" s="8" t="inlineStr">
        <is>
          <t>0,2-0,3 л/м²</t>
        </is>
      </c>
      <c r="K231" s="8" t="inlineStr">
        <is>
          <t>Колеровка, Новинка</t>
        </is>
      </c>
      <c r="L231" s="8" t="inlineStr">
        <is>
          <t>https://osnovit.ru/catalog/kraski/osnovit-univita-ssl93-ic-kraska-silikonovaya-fasadnaya-s-ingibitorom-korrozii/</t>
        </is>
      </c>
    </row>
    <row r="232">
      <c r="A232" s="8" t="inlineStr">
        <is>
          <t>Основит</t>
        </is>
      </c>
      <c r="B232" s="8" t="inlineStr">
        <is>
          <t>product</t>
        </is>
      </c>
      <c r="C232" s="8" t="inlineStr">
        <is>
          <t>Краска силикатная фасадная Основит Унивита CSt92 9 л</t>
        </is>
      </c>
      <c r="D232" s="8" t="inlineStr">
        <is>
          <t>Основит Унивита CSt92</t>
        </is>
      </c>
      <c r="E232" s="8" t="inlineStr">
        <is>
          <t>9 л</t>
        </is>
      </c>
      <c r="F232" s="8" t="inlineStr">
        <is>
          <t>paint</t>
        </is>
      </c>
      <c r="G232" s="8" t="inlineStr">
        <is>
          <t>no</t>
        </is>
      </c>
      <c r="H232" s="8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I232" s="8" t="inlineStr">
        <is>
          <t>13 кг (9 л)</t>
        </is>
      </c>
      <c r="J232" s="8" t="inlineStr">
        <is>
          <t>4–5 м 2 /1 л</t>
        </is>
      </c>
      <c r="K232" s="8" t="inlineStr">
        <is>
          <t>Колеровка</t>
        </is>
      </c>
      <c r="L232" s="8" t="inlineStr">
        <is>
          <t>https://osnovit.ru/catalog/kraski/univita-cst92/</t>
        </is>
      </c>
    </row>
    <row r="233">
      <c r="A233" s="8" t="inlineStr">
        <is>
          <t>Основит</t>
        </is>
      </c>
      <c r="B233" s="8" t="inlineStr">
        <is>
          <t>product</t>
        </is>
      </c>
      <c r="C233" s="8" t="inlineStr">
        <is>
          <t>Краска силикатная фасадная с ингибитором коррозии Основит Унивита CSt92 Ic 9 л</t>
        </is>
      </c>
      <c r="D233" s="8" t="inlineStr">
        <is>
          <t>Основит Унивита CSt92 Ic</t>
        </is>
      </c>
      <c r="E233" s="8" t="inlineStr">
        <is>
          <t>9 л</t>
        </is>
      </c>
      <c r="F233" s="8" t="inlineStr">
        <is>
          <t>paint</t>
        </is>
      </c>
      <c r="G233" s="8" t="inlineStr">
        <is>
          <t>no</t>
        </is>
      </c>
      <c r="H233" s="8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I233" s="8" t="inlineStr">
        <is>
          <t>13 кг (9л)</t>
        </is>
      </c>
      <c r="J233" s="8" t="inlineStr">
        <is>
          <t>0,2-0,3 л/м²</t>
        </is>
      </c>
      <c r="K233" s="8" t="inlineStr">
        <is>
          <t>Колеровка, Новинка</t>
        </is>
      </c>
      <c r="L233" s="8" t="inlineStr">
        <is>
          <t>https://osnovit.ru/catalog/kraski/osnovit-univita-sst92-ic-kraska-silikatnaya-fasadnaya-s-ingibitorom-korrozii/</t>
        </is>
      </c>
    </row>
    <row r="234">
      <c r="A234" s="8" t="inlineStr">
        <is>
          <t>Основит</t>
        </is>
      </c>
      <c r="B234" s="8" t="inlineStr">
        <is>
          <t>product</t>
        </is>
      </c>
      <c r="C234" s="8" t="inlineStr">
        <is>
          <t>Краска акриловая фасадная Основит Унивита САс91 9 л</t>
        </is>
      </c>
      <c r="D234" s="8" t="inlineStr">
        <is>
          <t>Основит Унивита SAc91</t>
        </is>
      </c>
      <c r="E234" s="8" t="inlineStr">
        <is>
          <t>9 л</t>
        </is>
      </c>
      <c r="F234" s="8" t="inlineStr">
        <is>
          <t>paint</t>
        </is>
      </c>
      <c r="G234" s="8" t="inlineStr">
        <is>
          <t>no</t>
        </is>
      </c>
      <c r="H234" s="8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I234" s="8" t="inlineStr">
        <is>
          <t>13 кг (9 л)</t>
        </is>
      </c>
      <c r="J234" s="8" t="inlineStr">
        <is>
          <t>4–5 м 2 /1 л</t>
        </is>
      </c>
      <c r="K234" s="8" t="inlineStr">
        <is>
          <t>Колеровка</t>
        </is>
      </c>
      <c r="L234" s="8" t="inlineStr">
        <is>
          <t>https://osnovit.ru/catalog/kraski/univita-sas91/</t>
        </is>
      </c>
    </row>
    <row r="235">
      <c r="A235" s="8" t="inlineStr">
        <is>
          <t>Основит</t>
        </is>
      </c>
      <c r="B235" s="8" t="inlineStr">
        <is>
          <t>product</t>
        </is>
      </c>
      <c r="C235" s="8" t="inlineStr">
        <is>
          <t>Краска акриловая фасадная с ингибитором коррозии Основит Унивита СAc91 Ic 9 л</t>
        </is>
      </c>
      <c r="D235" s="8" t="inlineStr">
        <is>
          <t>Основит Унивита SAc91 Ic</t>
        </is>
      </c>
      <c r="E235" s="8" t="inlineStr">
        <is>
          <t>9 л</t>
        </is>
      </c>
      <c r="F235" s="8" t="inlineStr">
        <is>
          <t>paint</t>
        </is>
      </c>
      <c r="G235" s="8" t="inlineStr">
        <is>
          <t>no</t>
        </is>
      </c>
      <c r="H235" s="8" t="inlineStr">
        <is>
          <t>предназначена для создания гладкого декоративно-защитного покрытия на минеральных основаниях. Применяется для окрашивания фасадов, цоколей, стен и потолков в жилых, административных, складских, торговых, промышленных и других помещениях, в местах общественного пользования, на балконах и террасах.</t>
        </is>
      </c>
      <c r="I235" s="8" t="inlineStr">
        <is>
          <t>13 кг (9л)</t>
        </is>
      </c>
      <c r="J235" s="8" t="inlineStr">
        <is>
          <t>0,2-0,3 л/м²</t>
        </is>
      </c>
      <c r="K235" s="8" t="inlineStr">
        <is>
          <t>Колеровка, Новинка</t>
        </is>
      </c>
      <c r="L235" s="8" t="inlineStr">
        <is>
          <t>https://osnovit.ru/catalog/kraski/osnovit-univita-sac91-ic-kraska-akrilovaya-fasadnaya-s-ingibitorom-korrozii/</t>
        </is>
      </c>
    </row>
    <row r="236">
      <c r="A236" s="8" t="inlineStr">
        <is>
          <t>Основит</t>
        </is>
      </c>
      <c r="B236" s="8" t="inlineStr">
        <is>
          <t>product</t>
        </is>
      </c>
      <c r="C236" s="8" t="inlineStr">
        <is>
          <t>Клей универсальный для стеклообоев и стеклохолста Основит Унихолст</t>
        </is>
      </c>
      <c r="D236" s="8" t="inlineStr">
        <is>
          <t>Основит Унихолст AA01</t>
        </is>
      </c>
      <c r="E236" s="8" t="inlineStr">
        <is>
          <t>фасовка 10 кг / 5 кг</t>
        </is>
      </c>
      <c r="F236" s="8" t="inlineStr">
        <is>
          <t>wallpaper_glue</t>
        </is>
      </c>
      <c r="G236" s="8" t="inlineStr">
        <is>
          <t>no</t>
        </is>
      </c>
      <c r="H236" s="8" t="inlineStr">
        <is>
          <t>Готовый к применению акриловый клей УНИХОЛСТ AA01 идеально подходит для приклейки малярного стеклохолста, «паутинки», малярного флизелина, малярной стеклосетки, стеклообоев и всех видов тяжёлых обоев.</t>
        </is>
      </c>
      <c r="I236" s="8" t="inlineStr">
        <is>
          <t>Вес нетто, кг
10
5</t>
        </is>
      </c>
      <c r="J236" s="8" t="inlineStr">
        <is>
          <t>Расход на 1 м², кг
0,2-0,3</t>
        </is>
      </c>
      <c r="K236" s="8" t="inlineStr">
        <is>
          <t>Новинка</t>
        </is>
      </c>
      <c r="L236" s="8" t="inlineStr">
        <is>
          <t>https://osnovit.ru/catalog/klei-dlya-oboev/unikholst/</t>
        </is>
      </c>
    </row>
    <row r="237">
      <c r="A237" s="8" t="inlineStr">
        <is>
          <t>Основит</t>
        </is>
      </c>
      <c r="B237" s="8" t="inlineStr">
        <is>
          <t>product</t>
        </is>
      </c>
      <c r="C237" s="8" t="inlineStr">
        <is>
          <t>Грунт универсальный Основит Унконт Люкс LP51 A</t>
        </is>
      </c>
      <c r="D237" s="8" t="inlineStr">
        <is>
          <t>Основит Унконт Люкс LP51 A</t>
        </is>
      </c>
      <c r="E237" s="8" t="inlineStr"/>
      <c r="F237" s="8" t="inlineStr">
        <is>
          <t>primer</t>
        </is>
      </c>
      <c r="G237" s="8" t="inlineStr">
        <is>
          <t>no</t>
        </is>
      </c>
      <c r="H237" s="8" t="inlineStr">
        <is>
          <t>предназначен для предварительной обработки и обеспыливания минеральных оснований под последующее нанесение отделочных материалов: гипсовых штукатурок, шпаклёвок, ровнителей, наливных полов, плиточных клеёв, лакокрасочных материалов.</t>
        </is>
      </c>
      <c r="I237" s="8" t="inlineStr">
        <is>
          <t>10 л</t>
        </is>
      </c>
      <c r="J237" s="8" t="inlineStr">
        <is>
          <t>4–10 м 2 /л</t>
        </is>
      </c>
      <c r="K237" s="8" t="inlineStr"/>
      <c r="L237" s="8" t="inlineStr">
        <is>
          <t>https://osnovit.ru/catalog/gruntovki/unkont-lyuks-lp51-a/</t>
        </is>
      </c>
    </row>
    <row r="238">
      <c r="A238" s="8" t="inlineStr">
        <is>
          <t>Основит</t>
        </is>
      </c>
      <c r="B238" s="8" t="inlineStr">
        <is>
          <t>product</t>
        </is>
      </c>
      <c r="C238" s="8" t="inlineStr">
        <is>
          <t>Грунт универсальный Основит Унконт Люкс LP51 A 1 л</t>
        </is>
      </c>
      <c r="D238" s="8" t="inlineStr">
        <is>
          <t>Основит Унконт Люкс LP51 A</t>
        </is>
      </c>
      <c r="E238" s="8" t="inlineStr">
        <is>
          <t>1 л</t>
        </is>
      </c>
      <c r="F238" s="8" t="inlineStr">
        <is>
          <t>primer</t>
        </is>
      </c>
      <c r="G238" s="8" t="inlineStr">
        <is>
          <t>no</t>
        </is>
      </c>
      <c r="H238" s="8" t="inlineStr">
        <is>
          <t>предназначен для предварительной обработки и обеспыливания минеральных оснований под последующее нанесение отделочных материалов: гипсовых штукатурок, шпаклёвок, ровнителей, наливных полов, плиточных клеёв, лакокрасочных материалов.</t>
        </is>
      </c>
      <c r="I238" s="8" t="inlineStr">
        <is>
          <t>1 л</t>
        </is>
      </c>
      <c r="J238" s="8" t="inlineStr">
        <is>
          <t>4–10 м 2 /л</t>
        </is>
      </c>
      <c r="K238" s="8" t="inlineStr"/>
      <c r="L238" s="8" t="inlineStr">
        <is>
          <t>https://osnovit.ru/catalog/gruntovki/grunt-universalnyy-osnovit-unkont-lyuks-lp51-a-1l/</t>
        </is>
      </c>
    </row>
    <row r="239">
      <c r="A239" s="8" t="inlineStr">
        <is>
          <t>Основит</t>
        </is>
      </c>
      <c r="B239" s="8" t="inlineStr">
        <is>
          <t>product</t>
        </is>
      </c>
      <c r="C239" s="8" t="inlineStr">
        <is>
          <t>Грунт универсальный Основит Унконт Люкс LP51 A 5 л</t>
        </is>
      </c>
      <c r="D239" s="8" t="inlineStr">
        <is>
          <t>Основит Унконт Люкс LP51 A</t>
        </is>
      </c>
      <c r="E239" s="8" t="inlineStr">
        <is>
          <t>5 л</t>
        </is>
      </c>
      <c r="F239" s="8" t="inlineStr">
        <is>
          <t>primer</t>
        </is>
      </c>
      <c r="G239" s="8" t="inlineStr">
        <is>
          <t>no</t>
        </is>
      </c>
      <c r="H239" s="8" t="inlineStr">
        <is>
          <t>предназначен для предварительной обработки и обеспыливания минеральных оснований под последующее нанесение отделочных материалов: гипсовых штукатурок, шпаклёвок, ровнителей, наливных полов, плиточных клеёв, лакокрасочных материалов.</t>
        </is>
      </c>
      <c r="I239" s="8" t="inlineStr">
        <is>
          <t>5 л</t>
        </is>
      </c>
      <c r="J239" s="8" t="inlineStr">
        <is>
          <t>4–10 м 2 /л</t>
        </is>
      </c>
      <c r="K239" s="8" t="inlineStr"/>
      <c r="L239" s="8" t="inlineStr">
        <is>
          <t>https://osnovit.ru/catalog/gruntovki/grunt-universalnyy-osnovit-unkont-lyuks-lp51-a-5l/</t>
        </is>
      </c>
    </row>
    <row r="240">
      <c r="A240" s="8" t="inlineStr">
        <is>
          <t>Основит</t>
        </is>
      </c>
      <c r="B240" s="8" t="inlineStr">
        <is>
          <t>product</t>
        </is>
      </c>
      <c r="C240" s="8" t="inlineStr">
        <is>
          <t>Грунт универсальный Основит Унконт Стандарт LP51 1 л</t>
        </is>
      </c>
      <c r="D240" s="8" t="inlineStr">
        <is>
          <t>Основит Унконт Стандарт LP51</t>
        </is>
      </c>
      <c r="E240" s="8" t="inlineStr">
        <is>
          <t>1 л</t>
        </is>
      </c>
      <c r="F240" s="8" t="inlineStr">
        <is>
          <t>primer</t>
        </is>
      </c>
      <c r="G240" s="8" t="inlineStr">
        <is>
          <t>no</t>
        </is>
      </c>
      <c r="H240" s="8" t="inlineStr">
        <is>
          <t>Грунт Универсальный ОСНОВИТ УНКОНТ LP51 предназначен для предварительной обработки и обеспыливания минеральных оснований. Применяется для подготовки поверхности под последующее нанесение отделочных материалов: гипсовых штукатурок, шпаклёвок, цементных стяжек, плиточных клеёв, лакокрасочных материалов.</t>
        </is>
      </c>
      <c r="I240" s="8" t="inlineStr">
        <is>
          <t>1 л</t>
        </is>
      </c>
      <c r="J240" s="8" t="inlineStr">
        <is>
          <t>4–10 м 2 /л</t>
        </is>
      </c>
      <c r="K240" s="8" t="inlineStr"/>
      <c r="L240" s="8" t="inlineStr">
        <is>
          <t>https://osnovit.ru/catalog/gruntovki/grunt-universalnyy-osnovit-unkont-standart-lp51-1l/</t>
        </is>
      </c>
    </row>
    <row r="241">
      <c r="A241" s="8" t="inlineStr">
        <is>
          <t>Основит</t>
        </is>
      </c>
      <c r="B241" s="8" t="inlineStr">
        <is>
          <t>product</t>
        </is>
      </c>
      <c r="C241" s="8" t="inlineStr">
        <is>
          <t>Грунт универсальный Основит Унконт Стандарт LP51 10 л</t>
        </is>
      </c>
      <c r="D241" s="8" t="inlineStr">
        <is>
          <t>Основит Унконт Стандарт LP51</t>
        </is>
      </c>
      <c r="E241" s="8" t="inlineStr">
        <is>
          <t>10 л</t>
        </is>
      </c>
      <c r="F241" s="8" t="inlineStr">
        <is>
          <t>primer</t>
        </is>
      </c>
      <c r="G241" s="8" t="inlineStr">
        <is>
          <t>no</t>
        </is>
      </c>
      <c r="H241" s="8" t="inlineStr">
        <is>
          <t>Грунт Универсальный ОСНОВИТ УНКОНТ LP51 предназначен для предварительной обработки и обеспыливания минеральных оснований. Применяется для подготовки поверхности под последующее нанесение отделочных материалов: гипсовых штукатурок, шпаклёвок, цементных стяжек, плиточных клеёв, лакокрасочных материалов.</t>
        </is>
      </c>
      <c r="I241" s="8" t="inlineStr">
        <is>
          <t>10 л</t>
        </is>
      </c>
      <c r="J241" s="8" t="inlineStr">
        <is>
          <t>4–10 м 2 /л</t>
        </is>
      </c>
      <c r="K241" s="8" t="inlineStr"/>
      <c r="L241" s="8" t="inlineStr">
        <is>
          <t>https://osnovit.ru/catalog/gruntovki/unkont-standart-lp51/</t>
        </is>
      </c>
    </row>
    <row r="242">
      <c r="A242" s="8" t="inlineStr">
        <is>
          <t>Основит</t>
        </is>
      </c>
      <c r="B242" s="8" t="inlineStr">
        <is>
          <t>product</t>
        </is>
      </c>
      <c r="C242" s="8" t="inlineStr">
        <is>
          <t>Грунт универсальный Основит Унконт Стандарт LP51 5 л</t>
        </is>
      </c>
      <c r="D242" s="8" t="inlineStr">
        <is>
          <t>Основит Унконт Стандарт LP51</t>
        </is>
      </c>
      <c r="E242" s="8" t="inlineStr">
        <is>
          <t>5 л</t>
        </is>
      </c>
      <c r="F242" s="8" t="inlineStr">
        <is>
          <t>primer</t>
        </is>
      </c>
      <c r="G242" s="8" t="inlineStr">
        <is>
          <t>no</t>
        </is>
      </c>
      <c r="H242" s="8" t="inlineStr">
        <is>
          <t>Грунт Универсальный ОСНОВИТ УНКОНТ LP51 предназначен для предварительной обработки и обеспыливания минеральных оснований. Применяется для подготовки поверхности под последующее нанесение отделочных материалов: гипсовых штукатурок, шпаклёвок, цементных стяжек, плиточных клеёв, лакокрасочных материалов.</t>
        </is>
      </c>
      <c r="I242" s="8" t="inlineStr">
        <is>
          <t>5 л</t>
        </is>
      </c>
      <c r="J242" s="8" t="inlineStr">
        <is>
          <t>4–10 м 2 /л</t>
        </is>
      </c>
      <c r="K242" s="8" t="inlineStr"/>
      <c r="L242" s="8" t="inlineStr">
        <is>
          <t>https://osnovit.ru/catalog/gruntovki/grunt-universalnyy-osnovit-unkont-standart-lp51-1l6404/</t>
        </is>
      </c>
    </row>
    <row r="243">
      <c r="A243" s="8" t="inlineStr">
        <is>
          <t>Основит</t>
        </is>
      </c>
      <c r="B243" s="8" t="inlineStr">
        <is>
          <t>product</t>
        </is>
      </c>
      <c r="C243" s="8" t="inlineStr">
        <is>
          <t>Штукатурка легкая ОСНОВИТ ФЛАЙВЭЛЛ РС24/1 ML (25 кг)</t>
        </is>
      </c>
      <c r="D243" s="8" t="inlineStr">
        <is>
          <t>Основит Флайвэлл PC24/1 ML</t>
        </is>
      </c>
      <c r="E243" s="8" t="inlineStr"/>
      <c r="F243" s="8" t="inlineStr">
        <is>
          <t>plaster_cement</t>
        </is>
      </c>
      <c r="G243" s="8" t="inlineStr">
        <is>
          <t>yes</t>
        </is>
      </c>
      <c r="H243" s="8" t="inlineStr">
        <is>
          <t>предназначена для выравнивания стен из бетона, кирпича, ячеистого бетона.</t>
        </is>
      </c>
      <c r="I243" s="8" t="inlineStr">
        <is>
          <t>25 кг</t>
        </is>
      </c>
      <c r="J243" s="8" t="inlineStr">
        <is>
          <t>10-11 кг/м²</t>
        </is>
      </c>
      <c r="K243" s="8" t="inlineStr"/>
      <c r="L243" s="8" t="inlineStr">
        <is>
          <t>https://osnovit.ru/catalog/shtukaturki/flayvell-PC-24-ML-N/</t>
        </is>
      </c>
    </row>
    <row r="244">
      <c r="A244" s="8" t="inlineStr">
        <is>
          <t>Основит</t>
        </is>
      </c>
      <c r="B244" s="8" t="inlineStr">
        <is>
          <t>product</t>
        </is>
      </c>
      <c r="C244" s="8" t="inlineStr">
        <is>
          <t>Клей выравнивающий Основит Флайформ AC20 T 25 кг</t>
        </is>
      </c>
      <c r="D244" s="8" t="inlineStr">
        <is>
          <t>Основит Флайформ AC20 T</t>
        </is>
      </c>
      <c r="E244" s="8" t="inlineStr"/>
      <c r="F244" s="8" t="inlineStr">
        <is>
          <t>paving_mix</t>
        </is>
      </c>
      <c r="G244" s="8" t="inlineStr">
        <is>
          <t>yes</t>
        </is>
      </c>
      <c r="H244" s="8" t="inlineStr">
        <is>
          <t>Выравнивающий клей ОСНОВИТ ФЛАЙФОРМ AC20 T предназначен для фиксации брусчатки, камня, тротуарной плитки на бетонные основания.</t>
        </is>
      </c>
      <c r="I244" s="8" t="inlineStr">
        <is>
          <t>Мешок 25кг</t>
        </is>
      </c>
      <c r="J244" s="8" t="inlineStr">
        <is>
          <t>Расход смеси при слое 1мм, кг
1,4</t>
        </is>
      </c>
      <c r="K244" s="8" t="inlineStr"/>
      <c r="L244" s="8" t="inlineStr">
        <is>
          <t>https://osnovit.ru/catalog/kleevye-rastvory/osnovit-flayform-ac20-t-25-kg/</t>
        </is>
      </c>
    </row>
    <row r="245">
      <c r="A245" s="8" t="inlineStr">
        <is>
          <t>Основит</t>
        </is>
      </c>
      <c r="B245" s="8" t="inlineStr">
        <is>
          <t>product</t>
        </is>
      </c>
      <c r="C245" s="8" t="inlineStr">
        <is>
          <t>Клей тонкослойный Основит Флайформ AC6 Lq 25 кг</t>
        </is>
      </c>
      <c r="D245" s="8" t="inlineStr">
        <is>
          <t>Основит Флайформ AC6 Lq</t>
        </is>
      </c>
      <c r="E245" s="8" t="inlineStr"/>
      <c r="F245" s="8" t="inlineStr">
        <is>
          <t>paving_mix</t>
        </is>
      </c>
      <c r="G245" s="8" t="inlineStr">
        <is>
          <t>yes</t>
        </is>
      </c>
      <c r="H245" s="8" t="inlineStr">
        <is>
          <t>Предназначен для создания адгезиионного слоя между брусчаткой, натуральным камнем и прочими штучными материалами и дренажным подстилающем слоем.</t>
        </is>
      </c>
      <c r="I245" s="8" t="inlineStr">
        <is>
          <t>Мешок 25кг</t>
        </is>
      </c>
      <c r="J245" s="8" t="inlineStr">
        <is>
          <t>Расход смеси на 1 м 2
1,5-2,0 кг</t>
        </is>
      </c>
      <c r="K245" s="8" t="inlineStr"/>
      <c r="L245" s="8" t="inlineStr">
        <is>
          <t>https://osnovit.ru/catalog/kleevye-rastvory/osnovit-flayform-ac6-lq-25-kg/</t>
        </is>
      </c>
    </row>
    <row r="246">
      <c r="A246" s="8" t="inlineStr">
        <is>
          <t>Основит</t>
        </is>
      </c>
      <c r="B246" s="8" t="inlineStr">
        <is>
          <t>product</t>
        </is>
      </c>
      <c r="C246" s="8" t="inlineStr">
        <is>
          <t>Раствор дренажный Основит Флайформ DC100 1000 кг</t>
        </is>
      </c>
      <c r="D246" s="8" t="inlineStr">
        <is>
          <t>Основит Флайформ DC100</t>
        </is>
      </c>
      <c r="E246" s="8" t="inlineStr">
        <is>
          <t>1000 кг, бигбэг</t>
        </is>
      </c>
      <c r="F246" s="8" t="inlineStr">
        <is>
          <t>paving_mix</t>
        </is>
      </c>
      <c r="G246" s="8" t="inlineStr">
        <is>
          <t>yes</t>
        </is>
      </c>
      <c r="H246" s="8" t="inlineStr">
        <is>
          <t>Дренажный раствор ОСНОВИТ ФЛАЙФОРМ DC100 предназначен для создания дополнительного несущего водопроницаемого слоя на песчано-гравиевой подушке.</t>
        </is>
      </c>
      <c r="I246" s="8" t="inlineStr">
        <is>
          <t>1000 кг (бигбэг)</t>
        </is>
      </c>
      <c r="J246" s="8" t="inlineStr">
        <is>
          <t>Расход смеси при слое 10 мм (кг/м2)
20</t>
        </is>
      </c>
      <c r="K246" s="8" t="inlineStr"/>
      <c r="L246" s="8" t="inlineStr">
        <is>
          <t>https://osnovit.ru/catalog/drenazhnye-rastvory/flayform-dc100-drenazhnyy-rastvor-osnovit-1000kg/</t>
        </is>
      </c>
    </row>
    <row r="247">
      <c r="A247" s="8" t="inlineStr">
        <is>
          <t>Основит</t>
        </is>
      </c>
      <c r="B247" s="8" t="inlineStr">
        <is>
          <t>product</t>
        </is>
      </c>
      <c r="C247" s="8" t="inlineStr">
        <is>
          <t>Раствор дренажный Основит Флайформ DC100</t>
        </is>
      </c>
      <c r="D247" s="8" t="inlineStr">
        <is>
          <t>Основит Флайформ DC100</t>
        </is>
      </c>
      <c r="E247" s="8" t="inlineStr">
        <is>
          <t>25 кг</t>
        </is>
      </c>
      <c r="F247" s="8" t="inlineStr">
        <is>
          <t>paving_mix</t>
        </is>
      </c>
      <c r="G247" s="8" t="inlineStr">
        <is>
          <t>yes</t>
        </is>
      </c>
      <c r="H247" s="8" t="inlineStr">
        <is>
          <t>Дренажный раствор ОСНОВИТ ФЛАЙФОРМ DC100 предназначен для создания дополнительного несущего водопроницаемого слоя на песчано-гравиевой подушке.</t>
        </is>
      </c>
      <c r="I247" s="8" t="inlineStr">
        <is>
          <t>25 кг</t>
        </is>
      </c>
      <c r="J247" s="8" t="inlineStr">
        <is>
          <t>Расход смеси при слое 10 мм (кг/м2)
20</t>
        </is>
      </c>
      <c r="K247" s="8" t="inlineStr"/>
      <c r="L247" s="8" t="inlineStr">
        <is>
          <t>https://osnovit.ru/catalog/drenazhnye-rastvory/osnovit-flayform-dc100-25kg/</t>
        </is>
      </c>
    </row>
    <row r="248">
      <c r="A248" s="8" t="inlineStr">
        <is>
          <t>Основит</t>
        </is>
      </c>
      <c r="B248" s="8" t="inlineStr">
        <is>
          <t>product</t>
        </is>
      </c>
      <c r="C248" s="8" t="inlineStr">
        <is>
          <t>Раствор для укладки камня с расшивкой шва Основит Флайформ MC30 25 кг</t>
        </is>
      </c>
      <c r="D248" s="8" t="inlineStr">
        <is>
          <t>Основит Флайформ MC30</t>
        </is>
      </c>
      <c r="E248" s="8" t="inlineStr"/>
      <c r="F248" s="8" t="inlineStr">
        <is>
          <t>paving_mix</t>
        </is>
      </c>
      <c r="G248" s="8" t="inlineStr">
        <is>
          <t>yes</t>
        </is>
      </c>
      <c r="H248" s="8" t="inlineStr">
        <is>
          <t>Раствор для укладки камня с одновременной расшивкой шва ОСНОВИТ ФЛАЙФОРМ MC30 применяется для укладки натурального и искусственного камня с одновременной расшивкой швов. Рекомендуется для садово-паркового строительства и ландшафтного дизайна.</t>
        </is>
      </c>
      <c r="I248" s="8" t="inlineStr">
        <is>
          <t>Вес упаковки
25 кг</t>
        </is>
      </c>
      <c r="J248" s="8" t="inlineStr">
        <is>
          <t>Расход смеси при слое 10 мм (кг/м2)
16</t>
        </is>
      </c>
      <c r="K248" s="8" t="inlineStr">
        <is>
          <t>Колеровка, Новинка</t>
        </is>
      </c>
      <c r="L248" s="8" t="inlineStr">
        <is>
          <t>https://osnovit.ru/catalog/kleevye-rastvory/osnovit-flayform-mc30-25-kg/</t>
        </is>
      </c>
    </row>
    <row r="249">
      <c r="A249" s="8" t="inlineStr">
        <is>
          <t>Основит</t>
        </is>
      </c>
      <c r="B249" s="8" t="inlineStr">
        <is>
          <t>product</t>
        </is>
      </c>
      <c r="C249" s="8" t="inlineStr">
        <is>
          <t>Раствор монтажный подстилающий водонепроницаемый Основит Флайформ MC80 WP 25 кг</t>
        </is>
      </c>
      <c r="D249" s="8" t="inlineStr">
        <is>
          <t>Основит Флайформ MC80 WP</t>
        </is>
      </c>
      <c r="E249" s="8" t="inlineStr">
        <is>
          <t>25 кг</t>
        </is>
      </c>
      <c r="F249" s="8" t="inlineStr">
        <is>
          <t>paving_mix</t>
        </is>
      </c>
      <c r="G249" s="8" t="inlineStr">
        <is>
          <t>yes</t>
        </is>
      </c>
      <c r="H249" s="8" t="inlineStr">
        <is>
          <t>Подстилающий раствор ОСНОВИТ ФЛАЙФОРМ МC80 Wp предназначен для создания дополнительного несущего водонепроницаемого слоя на песчано-гравийной или бетонной подушке, бетонирования дорожек, ступеней, террас и отдельных площадок.</t>
        </is>
      </c>
      <c r="I249" s="8" t="inlineStr">
        <is>
          <t>25 кг</t>
        </is>
      </c>
      <c r="J249" s="8" t="inlineStr">
        <is>
          <t>Расход смеси на 1 м² слоя 10 мм
22 кг</t>
        </is>
      </c>
      <c r="K249" s="8" t="inlineStr"/>
      <c r="L249" s="8" t="inlineStr">
        <is>
          <t>https://osnovit.ru/catalog/drenazhnye-rastvory/flayform-mc-80-wp/</t>
        </is>
      </c>
    </row>
    <row r="250">
      <c r="A250" s="8" t="inlineStr">
        <is>
          <t>Основит</t>
        </is>
      </c>
      <c r="B250" s="8" t="inlineStr">
        <is>
          <t>product</t>
        </is>
      </c>
      <c r="C250" s="8" t="inlineStr">
        <is>
          <t>Раствор для заполнения швов водонепроницаемый Основит Флайформ XC50 WP 25 кг</t>
        </is>
      </c>
      <c r="D250" s="8" t="inlineStr">
        <is>
          <t>Основит Флайформ XC50 WP</t>
        </is>
      </c>
      <c r="E250" s="8" t="inlineStr"/>
      <c r="F250" s="8" t="inlineStr">
        <is>
          <t>paving_mix</t>
        </is>
      </c>
      <c r="G250" s="8" t="inlineStr">
        <is>
          <t>yes</t>
        </is>
      </c>
      <c r="H250" s="8" t="inlineStr">
        <is>
          <t>предназначен для расшивки швов штучных материалов, таких как гранитная или клинкерная брусчатка, натуральный камень с целью защиты основания от доступа влаги и придания поверхности декоративных свойств.</t>
        </is>
      </c>
      <c r="I250" s="8" t="inlineStr">
        <is>
          <t>Мешок 25кг</t>
        </is>
      </c>
      <c r="J250" s="8" t="inlineStr"/>
      <c r="K250" s="8" t="inlineStr">
        <is>
          <t>Колеровка, Новинка</t>
        </is>
      </c>
      <c r="L250" s="8" t="inlineStr">
        <is>
          <t>https://osnovit.ru/catalog/zapolnenie-shvov/osnovit-flayform-xc50-wp-25-kg/</t>
        </is>
      </c>
    </row>
    <row r="251">
      <c r="A251" s="8" t="inlineStr">
        <is>
          <t>Основит</t>
        </is>
      </c>
      <c r="B251" s="8" t="inlineStr">
        <is>
          <t>product</t>
        </is>
      </c>
      <c r="C251" s="8" t="inlineStr">
        <is>
          <t>Состав монтажный и ремонтный быстрый Основит Хардскрин RC10 R 2 кг</t>
        </is>
      </c>
      <c r="D251" s="8" t="inlineStr">
        <is>
          <t>Основит Хардскрин RC10 R</t>
        </is>
      </c>
      <c r="E251" s="8" t="inlineStr"/>
      <c r="F251" s="8" t="inlineStr">
        <is>
          <t>concrete_repair</t>
        </is>
      </c>
      <c r="G251" s="8" t="inlineStr">
        <is>
          <t>unclear</t>
        </is>
      </c>
      <c r="H251" s="8" t="inlineStr">
        <is>
          <t>Монтажный и ремонтный состав ОСНОВИТ предназначен для быстрой анкеровки стальных и полимерных элементов, срочного ремонта и герметизации трещин и сколов, заполнения дефектов (трещин и выбоин) при срочных ремонтных работах.</t>
        </is>
      </c>
      <c r="I251" s="8" t="inlineStr">
        <is>
          <t>2 кг</t>
        </is>
      </c>
      <c r="J251" s="8" t="inlineStr">
        <is>
          <t>1,5кг/дм 3</t>
        </is>
      </c>
      <c r="K251" s="8" t="inlineStr"/>
      <c r="L251" s="8" t="inlineStr">
        <is>
          <t>https://osnovit.ru/catalog/remont-i-zashchita-betona/khardskrin-rc10-r-bystryy-montazhnyy-i-remontnyy-sostav-osnovit/</t>
        </is>
      </c>
    </row>
    <row r="252">
      <c r="A252" s="8" t="inlineStr">
        <is>
          <t>Основит</t>
        </is>
      </c>
      <c r="B252" s="8" t="inlineStr">
        <is>
          <t>product</t>
        </is>
      </c>
      <c r="C252" s="8" t="inlineStr">
        <is>
          <t>Состав ремонтный Основит Хардскрин RC20</t>
        </is>
      </c>
      <c r="D252" s="8" t="inlineStr">
        <is>
          <t>Основит Хардскрин RC20</t>
        </is>
      </c>
      <c r="E252" s="8" t="inlineStr"/>
      <c r="F252" s="8" t="inlineStr">
        <is>
          <t>concrete_repair</t>
        </is>
      </c>
      <c r="G252" s="8" t="inlineStr">
        <is>
          <t>yes</t>
        </is>
      </c>
      <c r="H252" s="8" t="inlineStr">
        <is>
          <t>Ремонтный состав ХАРДСКРИН RC20 предназначен для восстановления геометрии конструкций из кирпича и бетона, цементных стяжек и штукатурок: устранения выбоин, трещин, сколов (неконструкционный ремонт).</t>
        </is>
      </c>
      <c r="I252" s="8" t="inlineStr">
        <is>
          <t>25 кг / 5 кг</t>
        </is>
      </c>
      <c r="J252" s="8" t="inlineStr">
        <is>
          <t>1,5 кг/м²</t>
        </is>
      </c>
      <c r="K252" s="8" t="inlineStr"/>
      <c r="L252" s="8" t="inlineStr">
        <is>
          <t>https://osnovit.ru/catalog/remont-i-zashchita-betona/remontnyy-sostav-osnovit-khardskrin-rc20/</t>
        </is>
      </c>
    </row>
    <row r="253">
      <c r="A253" s="8" t="inlineStr">
        <is>
          <t>Основит</t>
        </is>
      </c>
      <c r="B253" s="8" t="inlineStr">
        <is>
          <t>product</t>
        </is>
      </c>
      <c r="C253" s="8" t="inlineStr">
        <is>
          <t>Гипс быстротвердеющий Основит Хардскрин RG10 R 5 кг</t>
        </is>
      </c>
      <c r="D253" s="8" t="inlineStr">
        <is>
          <t>Основит Хардскрин RG10 R</t>
        </is>
      </c>
      <c r="E253" s="8" t="inlineStr"/>
      <c r="F253" s="8" t="inlineStr">
        <is>
          <t>special_mortar</t>
        </is>
      </c>
      <c r="G253" s="8" t="inlineStr">
        <is>
          <t>yes</t>
        </is>
      </c>
      <c r="H253" s="8" t="inlineStr">
        <is>
          <t>Быстротвердеющий строительный гипс ОСНОВИТ предназначен для быстрой фиксации электрических розеток, крепления электропроводки, штукатурных маячков.</t>
        </is>
      </c>
      <c r="I253" s="8" t="inlineStr">
        <is>
          <t>5 кг</t>
        </is>
      </c>
      <c r="J253" s="8" t="inlineStr"/>
      <c r="K253" s="8" t="inlineStr">
        <is>
          <t>Новинка</t>
        </is>
      </c>
      <c r="L253" s="8" t="inlineStr">
        <is>
          <t>https://osnovit.ru/catalog/remont-i-zashchita-betona/khardskrin-rg10-r-bystrotverdeyushchiy-gips-osnovit/</t>
        </is>
      </c>
    </row>
    <row r="254">
      <c r="A254" s="8" t="inlineStr">
        <is>
          <t>Основит</t>
        </is>
      </c>
      <c r="B254" s="8" t="inlineStr">
        <is>
          <t>product</t>
        </is>
      </c>
      <c r="C254" s="8" t="inlineStr">
        <is>
          <t>Шпаклевка гипсовая высокопрочная для швов и стыков белая Основит Шовсилк PG33 H 20 кг</t>
        </is>
      </c>
      <c r="D254" s="8" t="inlineStr">
        <is>
          <t>Основит Шовсилк PG33 H</t>
        </is>
      </c>
      <c r="E254" s="8" t="inlineStr"/>
      <c r="F254" s="8" t="inlineStr">
        <is>
          <t>putty_gypsum</t>
        </is>
      </c>
      <c r="G254" s="8" t="inlineStr">
        <is>
          <t>yes</t>
        </is>
      </c>
      <c r="H254" s="8" t="inlineStr">
        <is>
          <t>предназначена для заделки стыков, швов и возможных повреждений ГКЛ, ГВЛ, ПГП и СМЛ. Заделку стыковочных швов листов с полукруглой утонённой кромкой (ПЛУК) возможно производить без использования армирующих шовных лент.</t>
        </is>
      </c>
      <c r="I254" s="8" t="inlineStr">
        <is>
          <t>20 кг</t>
        </is>
      </c>
      <c r="J254" s="8" t="inlineStr">
        <is>
          <t>0,8-0,9 кг/м²</t>
        </is>
      </c>
      <c r="K254" s="8" t="inlineStr"/>
      <c r="L254" s="8" t="inlineStr">
        <is>
          <t>https://osnovit.ru/catalog/shpaklevki/shovsilk-pg33-h-shpaklyevka-gipsovaya-vysokoprochnaya-osnovit/</t>
        </is>
      </c>
    </row>
    <row r="255">
      <c r="A255" s="8" t="inlineStr">
        <is>
          <t>Основит</t>
        </is>
      </c>
      <c r="B255" s="8" t="inlineStr">
        <is>
          <t>product</t>
        </is>
      </c>
      <c r="C255" s="8" t="inlineStr">
        <is>
          <t>Шпаклевка финишная полимерная готовая Основит Эконсилк PA391 MW 28 кг</t>
        </is>
      </c>
      <c r="D255" s="8" t="inlineStr">
        <is>
          <t>Основит Эконсилк PA391 MW</t>
        </is>
      </c>
      <c r="E255" s="8" t="inlineStr"/>
      <c r="F255" s="8" t="inlineStr">
        <is>
          <t>putty_ready_paste</t>
        </is>
      </c>
      <c r="G255" s="8" t="inlineStr">
        <is>
          <t>no</t>
        </is>
      </c>
      <c r="H255" s="8" t="inlineStr">
        <is>
          <t>предназначена для выравнивания стен и потолков внутри сухих и влажных отапливаемых помещений, для создания гладкой поверхности высокого качества под окрашивание, оклеивание обоями. Возможно использование для заделки швов и стыков.</t>
        </is>
      </c>
      <c r="I255" s="8" t="inlineStr">
        <is>
          <t>28 кг</t>
        </is>
      </c>
      <c r="J255" s="8" t="inlineStr">
        <is>
          <t>1,6 кг/м²</t>
        </is>
      </c>
      <c r="K255" s="8" t="inlineStr">
        <is>
          <t>Новинка</t>
        </is>
      </c>
      <c r="L255" s="8" t="inlineStr">
        <is>
          <t>https://osnovit.ru/catalog/shpaklevki/shpaklevka-polimernaya-finishnaya-osnovit-ekonsilk-pa391-mw-gotovaya/</t>
        </is>
      </c>
    </row>
    <row r="256">
      <c r="A256" s="8" t="inlineStr">
        <is>
          <t>Основит</t>
        </is>
      </c>
      <c r="B256" s="8" t="inlineStr">
        <is>
          <t>product</t>
        </is>
      </c>
      <c r="C256" s="8" t="inlineStr">
        <is>
          <t>Шпаклевка гипсовая финишная белая Основит Эконсилк PG35 W</t>
        </is>
      </c>
      <c r="D256" s="8" t="inlineStr">
        <is>
          <t>Основит Эконсилк PG35 W</t>
        </is>
      </c>
      <c r="E256" s="8" t="inlineStr"/>
      <c r="F256" s="8" t="inlineStr">
        <is>
          <t>putty_gypsum</t>
        </is>
      </c>
      <c r="G256" s="8" t="inlineStr">
        <is>
          <t>yes</t>
        </is>
      </c>
      <c r="H256" s="8" t="inlineStr">
        <is>
          <t>Шпаклевка ОСНОВИТ ЭКОНСИЛК PG35 W предназначена для выравнивания стен и потолков, для заделки швов ГКЛ и ГВЛ.</t>
        </is>
      </c>
      <c r="I256" s="8" t="inlineStr">
        <is>
          <t>5, 10, 20 кг</t>
        </is>
      </c>
      <c r="J256" s="8" t="inlineStr">
        <is>
          <t>0,8-0,9 кг/м²</t>
        </is>
      </c>
      <c r="K256" s="8" t="inlineStr"/>
      <c r="L256" s="8" t="inlineStr">
        <is>
          <t>https://osnovit.ru/catalog/shpaklevki/ekonsilk-pg35-w/</t>
        </is>
      </c>
    </row>
    <row r="257">
      <c r="A257" s="8" t="inlineStr">
        <is>
          <t>Основит</t>
        </is>
      </c>
      <c r="B257" s="8" t="inlineStr">
        <is>
          <t>product</t>
        </is>
      </c>
      <c r="C257" s="8" t="inlineStr">
        <is>
          <t>Шпаклевка полимерная финишная супербелая Основит Эконсилк PP38 W</t>
        </is>
      </c>
      <c r="D257" s="8" t="inlineStr">
        <is>
          <t>Основит Эконсилк PP38 W</t>
        </is>
      </c>
      <c r="E257" s="8" t="inlineStr"/>
      <c r="F257" s="8" t="inlineStr">
        <is>
          <t>putty_polymer_dry</t>
        </is>
      </c>
      <c r="G257" s="8" t="inlineStr">
        <is>
          <t>yes</t>
        </is>
      </c>
      <c r="H257" s="8" t="inlineStr">
        <is>
          <t>Шпаклевка ОСНОВИТ Эконсилк PP38 W предназначена для выравнивания стен и потолков в сухих и влажных помещениях.</t>
        </is>
      </c>
      <c r="I257" s="8" t="inlineStr">
        <is>
          <t>5, 20 кг</t>
        </is>
      </c>
      <c r="J257" s="8" t="inlineStr">
        <is>
          <t>1,1 кг/м²</t>
        </is>
      </c>
      <c r="K257" s="8" t="inlineStr"/>
      <c r="L257" s="8" t="inlineStr">
        <is>
          <t>https://osnovit.ru/catalog/shpaklevki/ekonsilk-PP-38-W/</t>
        </is>
      </c>
    </row>
    <row r="258">
      <c r="A258" s="8" t="inlineStr">
        <is>
          <t>Основит</t>
        </is>
      </c>
      <c r="B258" s="8" t="inlineStr">
        <is>
          <t>product</t>
        </is>
      </c>
      <c r="C258" s="8" t="inlineStr">
        <is>
          <t>Штукатурка декоративная силиконовая шуба супербелая Основит Экстервэлл ОSl</t>
        </is>
      </c>
      <c r="D258" s="8" t="inlineStr">
        <is>
          <t>Основит Экстервэлл OSl шуба</t>
        </is>
      </c>
      <c r="E258" s="8" t="inlineStr">
        <is>
          <t>супербелая база под колеровку; 15 кг / 25 кг</t>
        </is>
      </c>
      <c r="F258" s="8" t="inlineStr">
        <is>
          <t>decorative_plaster_paste</t>
        </is>
      </c>
      <c r="G258" s="8" t="inlineStr">
        <is>
          <t>no</t>
        </is>
      </c>
      <c r="H258" s="8" t="inlineStr">
        <is>
          <t>Готовая к применению штукатурка декоративная силиконовая Основит Экстервэлл ОSl фактура «шуба»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58" s="8" t="inlineStr">
        <is>
          <t>15кг/25кг</t>
        </is>
      </c>
      <c r="J258" s="8" t="inlineStr">
        <is>
          <t>Расход на 1 м 2
Шуба
OSI 1.5 WS
1.5 мм
1,5 мм
2,5 кг
Шуба
OSI 2.0 WS
2.0 мм
2.0 мм
3,5 кг</t>
        </is>
      </c>
      <c r="K258" s="8" t="inlineStr"/>
      <c r="L258" s="8" t="inlineStr">
        <is>
          <t>https://osnovit.ru/catalog/dekorativnye-shtukaturki/ekstervell-osl-shuba/</t>
        </is>
      </c>
    </row>
    <row r="259">
      <c r="A259" s="8" t="inlineStr">
        <is>
          <t>Основит</t>
        </is>
      </c>
      <c r="B259" s="8" t="inlineStr">
        <is>
          <t>product</t>
        </is>
      </c>
      <c r="C259" s="8" t="inlineStr">
        <is>
          <t>Штукатурка декоративная силиконовая короед колерованная Основит Экстервэлл ОSl</t>
        </is>
      </c>
      <c r="D259" s="8" t="inlineStr">
        <is>
          <t>Основит Экстервэлл ОSl короед</t>
        </is>
      </c>
      <c r="E259" s="8" t="inlineStr">
        <is>
          <t>колерованная</t>
        </is>
      </c>
      <c r="F259" s="8" t="inlineStr">
        <is>
          <t>decorative_plaster_paste</t>
        </is>
      </c>
      <c r="G259" s="8" t="inlineStr">
        <is>
          <t>no</t>
        </is>
      </c>
      <c r="H259" s="8" t="inlineStr">
        <is>
          <t>Готовая к применению штукатурка декоративная силиконовая ОСНОВИТ ЭКСТЕРВЭЛЛ ОSl фактура «короед»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59" s="8" t="inlineStr">
        <is>
          <t>15кг/25кг</t>
        </is>
      </c>
      <c r="J259" s="8" t="inlineStr">
        <is>
          <t>Короед
OSl 2.0 WK
2.0 мм
2 мм
2,7 кг
Короед
OSl 3.0 WK
3.0 мм
3 мм
3,6 кг</t>
        </is>
      </c>
      <c r="K259" s="8" t="inlineStr">
        <is>
          <t>Колеровка</t>
        </is>
      </c>
      <c r="L259" s="8" t="inlineStr">
        <is>
          <t>https://osnovit.ru/catalog/dekorativnye-shtukaturki/ekstervell-osl-koroed-color/</t>
        </is>
      </c>
    </row>
    <row r="260">
      <c r="A260" s="8" t="inlineStr">
        <is>
          <t>Основит</t>
        </is>
      </c>
      <c r="B260" s="8" t="inlineStr">
        <is>
          <t>product</t>
        </is>
      </c>
      <c r="C260" s="8" t="inlineStr">
        <is>
          <t>Штукатурка декоративная силиконовая короед супербелая Основит Экстервэлл ОSl</t>
        </is>
      </c>
      <c r="D260" s="8" t="inlineStr">
        <is>
          <t>Основит Экстервэлл ОSl короед</t>
        </is>
      </c>
      <c r="E260" s="8" t="inlineStr">
        <is>
          <t>супербелая</t>
        </is>
      </c>
      <c r="F260" s="8" t="inlineStr">
        <is>
          <t>decorative_plaster_paste</t>
        </is>
      </c>
      <c r="G260" s="8" t="inlineStr">
        <is>
          <t>no</t>
        </is>
      </c>
      <c r="H260" s="8" t="inlineStr">
        <is>
          <t>Готовая к применению штукатурка декоративная силиконовая ОСНОВИТ ЭКСТЕРВЭЛЛ ОSl фактура «короед»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60" s="8" t="inlineStr">
        <is>
          <t>15кг/25кг</t>
        </is>
      </c>
      <c r="J260" s="8" t="inlineStr">
        <is>
          <t>Короед
OSl 2.0 WK
2.0 мм
2 мм
2,7 кг
Короед
OSl 3.0 WK
3.0 мм
3 мм
3,6 кг</t>
        </is>
      </c>
      <c r="K260" s="8" t="inlineStr"/>
      <c r="L260" s="8" t="inlineStr">
        <is>
          <t>https://osnovit.ru/catalog/dekorativnye-shtukaturki/ekstervell-osl-koroed/</t>
        </is>
      </c>
    </row>
    <row r="261">
      <c r="A261" s="8" t="inlineStr">
        <is>
          <t>Основит</t>
        </is>
      </c>
      <c r="B261" s="8" t="inlineStr">
        <is>
          <t>product</t>
        </is>
      </c>
      <c r="C261" s="8" t="inlineStr">
        <is>
          <t>Штукатурка декоративная силиконовая шуба колерованная Основит Экстервэлл ОSl</t>
        </is>
      </c>
      <c r="D261" s="8" t="inlineStr">
        <is>
          <t>Основит Экстервэлл ОSl шуба</t>
        </is>
      </c>
      <c r="E261" s="8" t="inlineStr">
        <is>
          <t>колерованная</t>
        </is>
      </c>
      <c r="F261" s="8" t="inlineStr">
        <is>
          <t>decorative_plaster_paste</t>
        </is>
      </c>
      <c r="G261" s="8" t="inlineStr">
        <is>
          <t>no</t>
        </is>
      </c>
      <c r="H261" s="8" t="inlineStr">
        <is>
          <t>Готовая к применению штукатурка декоративная силиконовая Основит Экстервэлл ОSl фактура «шуба»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61" s="8" t="inlineStr">
        <is>
          <t>15кг/25кг</t>
        </is>
      </c>
      <c r="J261" s="8" t="inlineStr">
        <is>
          <t>Шуба
OSI 1.5 WS
1.5 мм
1,5 мм
2,5 кг
Шуба
OSI 2.0 WS
2.0 мм
2.0 мм
3,5 кг</t>
        </is>
      </c>
      <c r="K261" s="8" t="inlineStr">
        <is>
          <t>Колеровка</t>
        </is>
      </c>
      <c r="L261" s="8" t="inlineStr">
        <is>
          <t>https://osnovit.ru/catalog/dekorativnye-shtukaturki/ekstervell-osl-shuba-color/</t>
        </is>
      </c>
    </row>
    <row r="262">
      <c r="A262" s="8" t="inlineStr">
        <is>
          <t>Основит</t>
        </is>
      </c>
      <c r="B262" s="8" t="inlineStr">
        <is>
          <t>product</t>
        </is>
      </c>
      <c r="C262" s="8" t="inlineStr">
        <is>
          <t>Штукатурка декоративная силикатно-силиконовая короед колерованная Основит Экстервэлл ОSs</t>
        </is>
      </c>
      <c r="D262" s="8" t="inlineStr">
        <is>
          <t>Основит Экстервэлл ОSs короед</t>
        </is>
      </c>
      <c r="E262" s="8" t="inlineStr">
        <is>
          <t>колерованная</t>
        </is>
      </c>
      <c r="F262" s="8" t="inlineStr">
        <is>
          <t>decorative_plaster_paste</t>
        </is>
      </c>
      <c r="G262" s="8" t="inlineStr">
        <is>
          <t>no</t>
        </is>
      </c>
      <c r="H262" s="8" t="inlineStr">
        <is>
          <t>Готовая к применению штукатурка декоративная силикатно-силиконовая Основит Экстервэлл ОSs фактура «короед»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62" s="8" t="inlineStr">
        <is>
          <t>15кг/25кг</t>
        </is>
      </c>
      <c r="J262" s="8" t="inlineStr">
        <is>
          <t>Короед
OSs 2.0 WK
2.0 мм
2 мм
2,7 кг
Короед
OSs 3.0 WK
3.0 мм
3 мм
3,6 кг</t>
        </is>
      </c>
      <c r="K262" s="8" t="inlineStr">
        <is>
          <t>Колеровка</t>
        </is>
      </c>
      <c r="L262" s="8" t="inlineStr">
        <is>
          <t>https://osnovit.ru/catalog/dekorativnye-shtukaturki/ekstervell-oss-koroed/</t>
        </is>
      </c>
    </row>
    <row r="263">
      <c r="A263" s="8" t="inlineStr">
        <is>
          <t>Основит</t>
        </is>
      </c>
      <c r="B263" s="8" t="inlineStr">
        <is>
          <t>product</t>
        </is>
      </c>
      <c r="C263" s="8" t="inlineStr">
        <is>
          <t>Штукатурка декоративная силикатно-силиконовая короед супербелая Основит Экстервэлл ОSs</t>
        </is>
      </c>
      <c r="D263" s="8" t="inlineStr">
        <is>
          <t>Основит Экстервэлл ОSs короед</t>
        </is>
      </c>
      <c r="E263" s="8" t="inlineStr">
        <is>
          <t>супербелая</t>
        </is>
      </c>
      <c r="F263" s="8" t="inlineStr">
        <is>
          <t>decorative_plaster_paste</t>
        </is>
      </c>
      <c r="G263" s="8" t="inlineStr">
        <is>
          <t>no</t>
        </is>
      </c>
      <c r="H263" s="8" t="inlineStr">
        <is>
          <t>Готовая к применению штукатурка декоративная силикатно-силиконовая Основит Экстервэлл ОSs фактура «короед»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63" s="8" t="inlineStr">
        <is>
          <t>15кг/25кг</t>
        </is>
      </c>
      <c r="J263" s="8" t="inlineStr">
        <is>
          <t>Короед
OSs 2.0 WK
2.0 мм
2 мм
2,7 кг
Короед
OSs 3.0 WK
3.0 мм
3 мм
3,6 кг</t>
        </is>
      </c>
      <c r="K263" s="8" t="inlineStr"/>
      <c r="L263" s="8" t="inlineStr">
        <is>
          <t>https://osnovit.ru/catalog/dekorativnye-shtukaturki/shtukaturka-dekorativnaya-silikatno-silikonovaya-ekstervell-oss-koroed-super-belaya/</t>
        </is>
      </c>
    </row>
    <row r="264">
      <c r="A264" s="8" t="inlineStr">
        <is>
          <t>Основит</t>
        </is>
      </c>
      <c r="B264" s="8" t="inlineStr">
        <is>
          <t>product</t>
        </is>
      </c>
      <c r="C264" s="8" t="inlineStr">
        <is>
          <t>Штукатурка декоративная силикатно-силиконовая шуба колерованная Основит Экстервэлл ОSs</t>
        </is>
      </c>
      <c r="D264" s="8" t="inlineStr">
        <is>
          <t>Основит Экстервэлл ОSs шуба</t>
        </is>
      </c>
      <c r="E264" s="8" t="inlineStr">
        <is>
          <t>колерованная</t>
        </is>
      </c>
      <c r="F264" s="8" t="inlineStr">
        <is>
          <t>decorative_plaster_paste</t>
        </is>
      </c>
      <c r="G264" s="8" t="inlineStr">
        <is>
          <t>no</t>
        </is>
      </c>
      <c r="H264" s="8" t="inlineStr">
        <is>
          <t>Готовая к применению штукатурка декоративная силикатно-силиконовая Основит Экстервэлл ОSs фактура «шуба»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64" s="8" t="inlineStr">
        <is>
          <t>15кг/25кг</t>
        </is>
      </c>
      <c r="J264" s="8" t="inlineStr">
        <is>
          <t>Шуба
OSs 1.5 WS
1.5 мм
1,5 мм
2,5 кг
Шуба
OSs 2.0 WS
2.0 мм
2.0 мм
3,5 кг</t>
        </is>
      </c>
      <c r="K264" s="8" t="inlineStr">
        <is>
          <t>Колеровка</t>
        </is>
      </c>
      <c r="L264" s="8" t="inlineStr">
        <is>
          <t>https://osnovit.ru/catalog/dekorativnye-shtukaturki/ekstervell-oss-shuba/</t>
        </is>
      </c>
    </row>
    <row r="265">
      <c r="A265" s="8" t="inlineStr">
        <is>
          <t>Основит</t>
        </is>
      </c>
      <c r="B265" s="8" t="inlineStr">
        <is>
          <t>product</t>
        </is>
      </c>
      <c r="C265" s="8" t="inlineStr">
        <is>
          <t>Штукатурка декоративная силикатно-силиконовая шуба супербелая Основит Экстервэлл ОSs</t>
        </is>
      </c>
      <c r="D265" s="8" t="inlineStr">
        <is>
          <t>Основит Экстервэлл ОSs шуба</t>
        </is>
      </c>
      <c r="E265" s="8" t="inlineStr">
        <is>
          <t>супербелая (на странице цвет «супербелый и белый»)</t>
        </is>
      </c>
      <c r="F265" s="8" t="inlineStr">
        <is>
          <t>decorative_plaster_paste</t>
        </is>
      </c>
      <c r="G265" s="8" t="inlineStr">
        <is>
          <t>no</t>
        </is>
      </c>
      <c r="H265" s="8" t="inlineStr">
        <is>
          <t>Готовая к применению штукатурка декоративная силикатно-силиконовая Основит Экстервэлл ОSs фактура «шуба»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65" s="8" t="inlineStr">
        <is>
          <t>15кг/25кг</t>
        </is>
      </c>
      <c r="J265" s="8" t="inlineStr">
        <is>
          <t>Шуба
OSs 1.0 WS
1.0 мм
1,0 мм
1,8-2,3 кг/м 2
Шуба
OSs 1.5 WS
1.5 мм
1,5 мм
2,5-2,8 кг/м 2
Шуба
OSs 2.0 WS
2.0 мм
2.0 мм
3,2-3,5 кг/м 2</t>
        </is>
      </c>
      <c r="K265" s="8" t="inlineStr"/>
      <c r="L265" s="8" t="inlineStr">
        <is>
          <t>https://osnovit.ru/catalog/dekorativnye-shtukaturki/shtukaturka-dekorativnaya-silikatno-silikonovaya-ekstervell-oss-shuba-super-belaya/</t>
        </is>
      </c>
    </row>
    <row r="266">
      <c r="A266" s="8" t="inlineStr">
        <is>
          <t>Основит</t>
        </is>
      </c>
      <c r="B266" s="8" t="inlineStr">
        <is>
          <t>product</t>
        </is>
      </c>
      <c r="C266" s="8" t="inlineStr">
        <is>
          <t>Штукатурка декоративная силикатная короед колерованная Основит Экстервэлл ОSt</t>
        </is>
      </c>
      <c r="D266" s="8" t="inlineStr">
        <is>
          <t>Основит Экстервэлл ОSt короед</t>
        </is>
      </c>
      <c r="E266" s="8" t="inlineStr">
        <is>
          <t>колерованная</t>
        </is>
      </c>
      <c r="F266" s="8" t="inlineStr">
        <is>
          <t>decorative_plaster_paste</t>
        </is>
      </c>
      <c r="G266" s="8" t="inlineStr">
        <is>
          <t>no</t>
        </is>
      </c>
      <c r="H266" s="8" t="inlineStr">
        <is>
          <t>Готовая к применению штукатурка декоративная силикатная Основит Экстервэлл ОSt фактура «Короед»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66" s="8" t="inlineStr">
        <is>
          <t>15кг/25кг</t>
        </is>
      </c>
      <c r="J266" s="8" t="inlineStr">
        <is>
          <t>Короед
OSt 2.0 WK
2.0 мм
2 мм
2,7 кг
Короед
OSt 3.0 WK
3.0 мм
3 мм
3,6 кг</t>
        </is>
      </c>
      <c r="K266" s="8" t="inlineStr">
        <is>
          <t>Колеровка</t>
        </is>
      </c>
      <c r="L266" s="8" t="inlineStr">
        <is>
          <t>https://osnovit.ru/catalog/dekorativnye-shtukaturki/ekstervell-ost-koroed-color/</t>
        </is>
      </c>
    </row>
    <row r="267">
      <c r="A267" s="8" t="inlineStr">
        <is>
          <t>Основит</t>
        </is>
      </c>
      <c r="B267" s="8" t="inlineStr">
        <is>
          <t>product</t>
        </is>
      </c>
      <c r="C267" s="8" t="inlineStr">
        <is>
          <t>Штукатурка декоративная силикатная короед супербелая Основит Экстервэлл ОSt</t>
        </is>
      </c>
      <c r="D267" s="8" t="inlineStr">
        <is>
          <t>Основит Экстервэлл ОSt короед</t>
        </is>
      </c>
      <c r="E267" s="8" t="inlineStr">
        <is>
          <t>супербелая</t>
        </is>
      </c>
      <c r="F267" s="8" t="inlineStr">
        <is>
          <t>decorative_plaster_paste</t>
        </is>
      </c>
      <c r="G267" s="8" t="inlineStr">
        <is>
          <t>no</t>
        </is>
      </c>
      <c r="H267" s="8" t="inlineStr">
        <is>
          <t>Готовая к применению штукатурка декоративная силикатная Основит Экстервэлл ОSt фактура «Короед»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67" s="8" t="inlineStr">
        <is>
          <t>15кг/25кг</t>
        </is>
      </c>
      <c r="J267" s="8" t="inlineStr">
        <is>
          <t>Короед
OSt 2.0 WK
2.0 мм
2 мм
2,7 кг
Короед
OSt 3.0 WK
3.0 мм
3 мм
3,6 кг</t>
        </is>
      </c>
      <c r="K267" s="8" t="inlineStr"/>
      <c r="L267" s="8" t="inlineStr">
        <is>
          <t>https://osnovit.ru/catalog/dekorativnye-shtukaturki/ekstervell-ost-koroed/</t>
        </is>
      </c>
    </row>
    <row r="268">
      <c r="A268" s="8" t="inlineStr">
        <is>
          <t>Основит</t>
        </is>
      </c>
      <c r="B268" s="8" t="inlineStr">
        <is>
          <t>product</t>
        </is>
      </c>
      <c r="C268" s="8" t="inlineStr">
        <is>
          <t>Штукатурка декоративная силикатная шуба колерованная Основит Экстервэлл ОSt</t>
        </is>
      </c>
      <c r="D268" s="8" t="inlineStr">
        <is>
          <t>Основит Экстервэлл ОSt шуба</t>
        </is>
      </c>
      <c r="E268" s="8" t="inlineStr">
        <is>
          <t>колерованная</t>
        </is>
      </c>
      <c r="F268" s="8" t="inlineStr">
        <is>
          <t>decorative_plaster_paste</t>
        </is>
      </c>
      <c r="G268" s="8" t="inlineStr">
        <is>
          <t>no</t>
        </is>
      </c>
      <c r="H268" s="8" t="inlineStr">
        <is>
          <t>Готовая к применению штукатурка декоративная силикатная Основит Экстервэлл ОSt фактура «Шуба»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68" s="8" t="inlineStr">
        <is>
          <t>15кг/25кг</t>
        </is>
      </c>
      <c r="J268" s="8" t="inlineStr">
        <is>
          <t>Шуба
OSt 1.5 WS
1.5 мм
1,5 мм
2,5 кг
Шуба
OSt 2.0 WS
2.0 мм
2.0 мм
3,5 кг</t>
        </is>
      </c>
      <c r="K268" s="8" t="inlineStr">
        <is>
          <t>Колеровка</t>
        </is>
      </c>
      <c r="L268" s="8" t="inlineStr">
        <is>
          <t>https://osnovit.ru/catalog/dekorativnye-shtukaturki/ekstervell-ost-shuba-color/</t>
        </is>
      </c>
    </row>
    <row r="269">
      <c r="A269" s="8" t="inlineStr">
        <is>
          <t>Основит</t>
        </is>
      </c>
      <c r="B269" s="8" t="inlineStr">
        <is>
          <t>product</t>
        </is>
      </c>
      <c r="C269" s="8" t="inlineStr">
        <is>
          <t>Штукатурка декоративная силикатная шуба супербелая Основит Экстервэлл ОSt</t>
        </is>
      </c>
      <c r="D269" s="8" t="inlineStr">
        <is>
          <t>Основит Экстервэлл ОSt шуба</t>
        </is>
      </c>
      <c r="E269" s="8" t="inlineStr">
        <is>
          <t>супербелая</t>
        </is>
      </c>
      <c r="F269" s="8" t="inlineStr">
        <is>
          <t>decorative_plaster_paste</t>
        </is>
      </c>
      <c r="G269" s="8" t="inlineStr">
        <is>
          <t>no</t>
        </is>
      </c>
      <c r="H269" s="8" t="inlineStr">
        <is>
          <t>Готовая к применению штукатурка декоративная силикатная Основит Экстервэлл ОSt фактура «Шуба»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69" s="8" t="inlineStr">
        <is>
          <t>15кг/25кг</t>
        </is>
      </c>
      <c r="J269" s="8" t="inlineStr">
        <is>
          <t>Шуба
OSt 1.5 WS
1.5 мм
1,5 мм
2,5 кг
Шуба
OSt 2.0 WS
2.0 мм
2.0 мм
3,5 кг</t>
        </is>
      </c>
      <c r="K269" s="8" t="inlineStr"/>
      <c r="L269" s="8" t="inlineStr">
        <is>
          <t>https://osnovit.ru/catalog/dekorativnye-shtukaturki/ekstervell-ost-shuba/</t>
        </is>
      </c>
    </row>
    <row r="270">
      <c r="A270" s="8" t="inlineStr">
        <is>
          <t>Основит</t>
        </is>
      </c>
      <c r="B270" s="8" t="inlineStr">
        <is>
          <t>product</t>
        </is>
      </c>
      <c r="C270" s="8" t="inlineStr">
        <is>
          <t>Штукатурка декоративная акриловая короед колерованная Основит Экстервэлл ОАc</t>
        </is>
      </c>
      <c r="D270" s="8" t="inlineStr">
        <is>
          <t>Основит Экстервэлл ОАc короед</t>
        </is>
      </c>
      <c r="E270" s="8" t="inlineStr">
        <is>
          <t>колерованная</t>
        </is>
      </c>
      <c r="F270" s="8" t="inlineStr">
        <is>
          <t>decorative_plaster_paste</t>
        </is>
      </c>
      <c r="G270" s="8" t="inlineStr">
        <is>
          <t>no</t>
        </is>
      </c>
      <c r="H270" s="8" t="inlineStr">
        <is>
          <t>Готовая к применению штукатурка декоративная Основит Экстервэлл фактура “короед”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70" s="8" t="inlineStr">
        <is>
          <t>15кг/25кг</t>
        </is>
      </c>
      <c r="J270" s="8" t="inlineStr">
        <is>
          <t>Короед
OAc 2.0 WK
2.0 мм
2 мм
2,7 кг
Короед
OAc 3.0 WK
3.0 мм
3 мм
3,6 кг</t>
        </is>
      </c>
      <c r="K270" s="8" t="inlineStr">
        <is>
          <t>Колеровка</t>
        </is>
      </c>
      <c r="L270" s="8" t="inlineStr">
        <is>
          <t>https://osnovit.ru/catalog/dekorativnye-shtukaturki/ekstervell-oas-koroed/</t>
        </is>
      </c>
    </row>
    <row r="271">
      <c r="A271" s="8" t="inlineStr">
        <is>
          <t>Основит</t>
        </is>
      </c>
      <c r="B271" s="8" t="inlineStr">
        <is>
          <t>product</t>
        </is>
      </c>
      <c r="C271" s="8" t="inlineStr">
        <is>
          <t>Штукатурка декоративная акриловая короед супербелая Основит Экстервэлл ОАc</t>
        </is>
      </c>
      <c r="D271" s="8" t="inlineStr">
        <is>
          <t>Основит Экстервэлл ОАc короед</t>
        </is>
      </c>
      <c r="E271" s="8" t="inlineStr">
        <is>
          <t>супербелая</t>
        </is>
      </c>
      <c r="F271" s="8" t="inlineStr">
        <is>
          <t>decorative_plaster_paste</t>
        </is>
      </c>
      <c r="G271" s="8" t="inlineStr">
        <is>
          <t>no</t>
        </is>
      </c>
      <c r="H271" s="8" t="inlineStr">
        <is>
          <t>Готовая к применению штукатурка декоративная Основит Экстервэлл фактура “Короед”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71" s="8" t="inlineStr">
        <is>
          <t>15кг/25кг</t>
        </is>
      </c>
      <c r="J271" s="8" t="inlineStr">
        <is>
          <t>Короед
OAc 2.0 WK
2.0 мм
2 мм
2,7 кг
Короед
OAc 3.0 WK
3.0 мм
3 мм
3,6 кг</t>
        </is>
      </c>
      <c r="K271" s="8" t="inlineStr"/>
      <c r="L271" s="8" t="inlineStr">
        <is>
          <t>https://osnovit.ru/catalog/dekorativnye-shtukaturki/shtukaturka-dekorativnaya-akrilovaya-ekstervell-oac-koroed-super-belaya/</t>
        </is>
      </c>
    </row>
    <row r="272">
      <c r="A272" s="8" t="inlineStr">
        <is>
          <t>Основит</t>
        </is>
      </c>
      <c r="B272" s="8" t="inlineStr">
        <is>
          <t>product</t>
        </is>
      </c>
      <c r="C272" s="8" t="inlineStr">
        <is>
          <t>Штукатурка декоративная акриловая шуба супербелая Основит Экстервэлл ОАc</t>
        </is>
      </c>
      <c r="D272" s="8" t="inlineStr">
        <is>
          <t>Основит Экстервэлл ОАc шуба</t>
        </is>
      </c>
      <c r="E272" s="8" t="inlineStr">
        <is>
          <t>супербелая</t>
        </is>
      </c>
      <c r="F272" s="8" t="inlineStr">
        <is>
          <t>decorative_plaster_paste</t>
        </is>
      </c>
      <c r="G272" s="8" t="inlineStr">
        <is>
          <t>no</t>
        </is>
      </c>
      <c r="H272" s="8" t="inlineStr">
        <is>
          <t>Готовая к применению штукатурка декоративная Основит Экстервэлл фактура “Шуба”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72" s="8" t="inlineStr">
        <is>
          <t>15кг/25кг</t>
        </is>
      </c>
      <c r="J272" s="8" t="inlineStr">
        <is>
          <t>Шуба
OAc 1.5 WS
1.5 мм
1,5 мм
2,5 кг
Шуба
OAc 2.0 WS
2.0 мм
2 мм
3,5 кг</t>
        </is>
      </c>
      <c r="K272" s="8" t="inlineStr"/>
      <c r="L272" s="8" t="inlineStr">
        <is>
          <t>https://osnovit.ru/catalog/dekorativnye-shtukaturki/ekstervell-oas-shuba4976/</t>
        </is>
      </c>
    </row>
    <row r="273">
      <c r="A273" s="8" t="inlineStr">
        <is>
          <t>Основит</t>
        </is>
      </c>
      <c r="B273" s="8" t="inlineStr">
        <is>
          <t>product</t>
        </is>
      </c>
      <c r="C273" s="8" t="inlineStr">
        <is>
          <t>Штукатурка декоративная акриловая шуба супербелая Основит Экстервэлл ОАc</t>
        </is>
      </c>
      <c r="D273" s="8" t="inlineStr">
        <is>
          <t>Основит Экстервэлл ОАc шуба</t>
        </is>
      </c>
      <c r="E273" s="8" t="inlineStr">
        <is>
          <t>супербелая по заголовку; метка «Колеровка»</t>
        </is>
      </c>
      <c r="F273" s="8" t="inlineStr">
        <is>
          <t>decorative_plaster_paste</t>
        </is>
      </c>
      <c r="G273" s="8" t="inlineStr">
        <is>
          <t>no</t>
        </is>
      </c>
      <c r="H273" s="8" t="inlineStr">
        <is>
          <t>Готовая к применению штукатурка декоративная Основит Экстервэлл фактура “Шуба” предназначена для создания тонкослойного декоративно-защитного покрытия при отделке различных поверхностей, в т.ч. при устройстве системы фасадной теплоизоляции Основит.</t>
        </is>
      </c>
      <c r="I273" s="8" t="inlineStr">
        <is>
          <t>15кг/25кг</t>
        </is>
      </c>
      <c r="J273" s="8" t="inlineStr">
        <is>
          <t>Шуба
OAc 1.5 WS
1.5 мм
1,5 мм
2,5 кг
Шуба
OAc 2.0 WS
2.0 мм
2 мм
3,5 кг</t>
        </is>
      </c>
      <c r="K273" s="8" t="inlineStr">
        <is>
          <t>Колеровка</t>
        </is>
      </c>
      <c r="L273" s="8" t="inlineStr">
        <is>
          <t>https://osnovit.ru/catalog/dekorativnye-shtukaturki/ekstervell-oas-shuba/</t>
        </is>
      </c>
    </row>
    <row r="274">
      <c r="A274" s="8" t="inlineStr">
        <is>
          <t>Основит</t>
        </is>
      </c>
      <c r="B274" s="8" t="inlineStr">
        <is>
          <t>product</t>
        </is>
      </c>
      <c r="C274" s="8" t="inlineStr">
        <is>
          <t>Штукатурка декоративная короед белая Основит Экстервэлл 25 кг</t>
        </is>
      </c>
      <c r="D274" s="8" t="inlineStr">
        <is>
          <t>Основит Экстервэлл минеральная короед</t>
        </is>
      </c>
      <c r="E274" s="8" t="inlineStr">
        <is>
          <t>белая</t>
        </is>
      </c>
      <c r="F274" s="8" t="inlineStr">
        <is>
          <t>decorative_plaster_dry</t>
        </is>
      </c>
      <c r="G274" s="8" t="inlineStr">
        <is>
          <t>yes</t>
        </is>
      </c>
      <c r="H274" s="8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I274" s="8" t="inlineStr">
        <is>
          <t>25 кг</t>
        </is>
      </c>
      <c r="J274" s="8" t="inlineStr"/>
      <c r="K274" s="8" t="inlineStr"/>
      <c r="L274" s="8" t="inlineStr">
        <is>
          <t>https://osnovit.ru/catalog/dekorativnye-shtukaturki/shtukaturka-dekorativnaya-osnovit-ekstervell-25-kg-koroed-belaya/</t>
        </is>
      </c>
    </row>
    <row r="275">
      <c r="A275" s="8" t="inlineStr">
        <is>
          <t>Основит</t>
        </is>
      </c>
      <c r="B275" s="8" t="inlineStr">
        <is>
          <t>product</t>
        </is>
      </c>
      <c r="C275" s="8" t="inlineStr">
        <is>
          <t>Штукатурка декоративная короед колерованная Основит Экстервэлл 25 кг</t>
        </is>
      </c>
      <c r="D275" s="8" t="inlineStr">
        <is>
          <t>Основит Экстервэлл минеральная короед</t>
        </is>
      </c>
      <c r="E275" s="8" t="inlineStr">
        <is>
          <t>колерованная</t>
        </is>
      </c>
      <c r="F275" s="8" t="inlineStr">
        <is>
          <t>decorative_plaster_dry</t>
        </is>
      </c>
      <c r="G275" s="8" t="inlineStr">
        <is>
          <t>yes</t>
        </is>
      </c>
      <c r="H275" s="8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I275" s="8" t="inlineStr">
        <is>
          <t>25 кг</t>
        </is>
      </c>
      <c r="J275" s="8" t="inlineStr"/>
      <c r="K275" s="8" t="inlineStr">
        <is>
          <t>Колеровка</t>
        </is>
      </c>
      <c r="L275" s="8" t="inlineStr">
        <is>
          <t>https://osnovit.ru/catalog/dekorativnye-shtukaturki/shtukaturka-dekorativnaya-osnovit-ekstervell-25-kg-koroed-color/</t>
        </is>
      </c>
    </row>
    <row r="276">
      <c r="A276" s="8" t="inlineStr">
        <is>
          <t>Основит</t>
        </is>
      </c>
      <c r="B276" s="8" t="inlineStr">
        <is>
          <t>product</t>
        </is>
      </c>
      <c r="C276" s="8" t="inlineStr">
        <is>
          <t>Штукатурка декоративная короед серая Основит Экстервэлл 25 кг</t>
        </is>
      </c>
      <c r="D276" s="8" t="inlineStr">
        <is>
          <t>Основит Экстервэлл минеральная короед</t>
        </is>
      </c>
      <c r="E276" s="8" t="inlineStr">
        <is>
          <t>серая</t>
        </is>
      </c>
      <c r="F276" s="8" t="inlineStr">
        <is>
          <t>decorative_plaster_dry</t>
        </is>
      </c>
      <c r="G276" s="8" t="inlineStr">
        <is>
          <t>yes</t>
        </is>
      </c>
      <c r="H276" s="8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I276" s="8" t="inlineStr">
        <is>
          <t>25 кг</t>
        </is>
      </c>
      <c r="J276" s="8" t="inlineStr"/>
      <c r="K276" s="8" t="inlineStr"/>
      <c r="L276" s="8" t="inlineStr">
        <is>
          <t>https://osnovit.ru/catalog/dekorativnye-shtukaturki/shtukaturka-dekorativnaya-osnovit-ekstervell-koroed-seraya/</t>
        </is>
      </c>
    </row>
    <row r="277">
      <c r="A277" s="8" t="inlineStr">
        <is>
          <t>Основит</t>
        </is>
      </c>
      <c r="B277" s="8" t="inlineStr">
        <is>
          <t>product</t>
        </is>
      </c>
      <c r="C277" s="8" t="inlineStr">
        <is>
          <t>Штукатурка декоративная короед супербелая Основит Экстервэлл 25 кг</t>
        </is>
      </c>
      <c r="D277" s="8" t="inlineStr">
        <is>
          <t>Основит Экстервэлл минеральная короед</t>
        </is>
      </c>
      <c r="E277" s="8" t="inlineStr">
        <is>
          <t>супербелая</t>
        </is>
      </c>
      <c r="F277" s="8" t="inlineStr">
        <is>
          <t>decorative_plaster_dry</t>
        </is>
      </c>
      <c r="G277" s="8" t="inlineStr">
        <is>
          <t>yes</t>
        </is>
      </c>
      <c r="H277" s="8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I277" s="8" t="inlineStr">
        <is>
          <t>25 кг</t>
        </is>
      </c>
      <c r="J277" s="8" t="inlineStr"/>
      <c r="K277" s="8" t="inlineStr"/>
      <c r="L277" s="8" t="inlineStr">
        <is>
          <t>https://osnovit.ru/catalog/dekorativnye-shtukaturki/shtukaturka-dekorativnaya-osnovit-ekstervell-25-kg-koroed-super-belaya/</t>
        </is>
      </c>
    </row>
    <row r="278">
      <c r="A278" s="8" t="inlineStr">
        <is>
          <t>Основит</t>
        </is>
      </c>
      <c r="B278" s="8" t="inlineStr">
        <is>
          <t>product</t>
        </is>
      </c>
      <c r="C278" s="8" t="inlineStr">
        <is>
          <t>Штукатурка декоративная моделируемая Основит Экстервэлл 25 кг</t>
        </is>
      </c>
      <c r="D278" s="8" t="inlineStr">
        <is>
          <t>Основит Экстервэлл минеральная моделируемая</t>
        </is>
      </c>
      <c r="E278" s="8" t="inlineStr"/>
      <c r="F278" s="8" t="inlineStr">
        <is>
          <t>decorative_plaster_dry</t>
        </is>
      </c>
      <c r="G278" s="8" t="inlineStr">
        <is>
          <t>yes</t>
        </is>
      </c>
      <c r="H278" s="8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I278" s="8" t="inlineStr">
        <is>
          <t>25 кг</t>
        </is>
      </c>
      <c r="J278" s="8" t="inlineStr"/>
      <c r="K278" s="8" t="inlineStr">
        <is>
          <t>Колеровка</t>
        </is>
      </c>
      <c r="L278" s="8" t="inlineStr">
        <is>
          <t>https://osnovit.ru/catalog/dekorativnye-shtukaturki/ekstervell-modeliruemaya/</t>
        </is>
      </c>
    </row>
    <row r="279">
      <c r="A279" s="8" t="inlineStr">
        <is>
          <t>Основит</t>
        </is>
      </c>
      <c r="B279" s="8" t="inlineStr">
        <is>
          <t>product</t>
        </is>
      </c>
      <c r="C279" s="8" t="inlineStr">
        <is>
          <t>Штукатурка декоративная шуба белая Основит Экстервэлл 25 кг</t>
        </is>
      </c>
      <c r="D279" s="8" t="inlineStr">
        <is>
          <t>Основит Экстервэлл шуба минеральная</t>
        </is>
      </c>
      <c r="E279" s="8" t="inlineStr">
        <is>
          <t>белая</t>
        </is>
      </c>
      <c r="F279" s="8" t="inlineStr">
        <is>
          <t>decorative_plaster_dry</t>
        </is>
      </c>
      <c r="G279" s="8" t="inlineStr">
        <is>
          <t>yes</t>
        </is>
      </c>
      <c r="H279" s="8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I279" s="8" t="inlineStr">
        <is>
          <t>25 кг</t>
        </is>
      </c>
      <c r="J279" s="8" t="inlineStr"/>
      <c r="K279" s="8" t="inlineStr"/>
      <c r="L279" s="8" t="inlineStr">
        <is>
          <t>https://osnovit.ru/catalog/dekorativnye-shtukaturki/shtukaturka-dekorativnaya-osnovit-ekstervell-shuba-belaya/</t>
        </is>
      </c>
    </row>
    <row r="280">
      <c r="A280" s="8" t="inlineStr">
        <is>
          <t>Основит</t>
        </is>
      </c>
      <c r="B280" s="8" t="inlineStr">
        <is>
          <t>product</t>
        </is>
      </c>
      <c r="C280" s="8" t="inlineStr">
        <is>
          <t>Штукатурка декоративная шуба белая зимняя Основит Экстервэлл 25 кг</t>
        </is>
      </c>
      <c r="D280" s="8" t="inlineStr">
        <is>
          <t>Основит Экстервэлл шуба минеральная</t>
        </is>
      </c>
      <c r="E280" s="8" t="inlineStr">
        <is>
          <t>белая; зимняя</t>
        </is>
      </c>
      <c r="F280" s="8" t="inlineStr">
        <is>
          <t>decorative_plaster_dry</t>
        </is>
      </c>
      <c r="G280" s="8" t="inlineStr">
        <is>
          <t>yes</t>
        </is>
      </c>
      <c r="H280" s="8" t="inlineStr">
        <is>
          <t>Создание фактурного декоративного покрытия</t>
        </is>
      </c>
      <c r="I280" s="8" t="inlineStr">
        <is>
          <t>25 кг</t>
        </is>
      </c>
      <c r="J280" s="8" t="inlineStr"/>
      <c r="K280" s="8" t="inlineStr">
        <is>
          <t>Зима, Новинка</t>
        </is>
      </c>
      <c r="L280" s="8" t="inlineStr">
        <is>
          <t>https://osnovit.ru/catalog/dekorativnye-shtukaturki-mineralnye/shtukaturka-dekorativnaya-osnovit-ekstervell-shuba-belaya-zimnyaya-seriya/</t>
        </is>
      </c>
    </row>
    <row r="281">
      <c r="A281" s="8" t="inlineStr">
        <is>
          <t>Основит</t>
        </is>
      </c>
      <c r="B281" s="8" t="inlineStr">
        <is>
          <t>product</t>
        </is>
      </c>
      <c r="C281" s="8" t="inlineStr">
        <is>
          <t>Штукатурка декоративная шуба колерованная Основит Экстервэлл 25 кг</t>
        </is>
      </c>
      <c r="D281" s="8" t="inlineStr">
        <is>
          <t>Основит Экстервэлл шуба минеральная</t>
        </is>
      </c>
      <c r="E281" s="8" t="inlineStr">
        <is>
          <t>колерованная</t>
        </is>
      </c>
      <c r="F281" s="8" t="inlineStr">
        <is>
          <t>decorative_plaster_dry</t>
        </is>
      </c>
      <c r="G281" s="8" t="inlineStr">
        <is>
          <t>yes</t>
        </is>
      </c>
      <c r="H281" s="8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I281" s="8" t="inlineStr">
        <is>
          <t>25 кг</t>
        </is>
      </c>
      <c r="J281" s="8" t="inlineStr"/>
      <c r="K281" s="8" t="inlineStr">
        <is>
          <t>Колеровка</t>
        </is>
      </c>
      <c r="L281" s="8" t="inlineStr">
        <is>
          <t>https://osnovit.ru/catalog/dekorativnye-shtukaturki/shtukaturka-dekorativnaya-osnovit-ekstervell-25-kg-shuba-color/</t>
        </is>
      </c>
    </row>
    <row r="282">
      <c r="A282" s="8" t="inlineStr">
        <is>
          <t>Основит</t>
        </is>
      </c>
      <c r="B282" s="8" t="inlineStr">
        <is>
          <t>product</t>
        </is>
      </c>
      <c r="C282" s="8" t="inlineStr">
        <is>
          <t>Штукатурка декоративная шуба серая Основит Экстервэлл 25 кг</t>
        </is>
      </c>
      <c r="D282" s="8" t="inlineStr">
        <is>
          <t>Основит Экстервэлл шуба минеральная</t>
        </is>
      </c>
      <c r="E282" s="8" t="inlineStr">
        <is>
          <t>серая</t>
        </is>
      </c>
      <c r="F282" s="8" t="inlineStr">
        <is>
          <t>decorative_plaster_dry</t>
        </is>
      </c>
      <c r="G282" s="8" t="inlineStr">
        <is>
          <t>yes</t>
        </is>
      </c>
      <c r="H282" s="8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I282" s="8" t="inlineStr">
        <is>
          <t>25 кг</t>
        </is>
      </c>
      <c r="J282" s="8" t="inlineStr"/>
      <c r="K282" s="8" t="inlineStr"/>
      <c r="L282" s="8" t="inlineStr">
        <is>
          <t>https://osnovit.ru/catalog/dekorativnye-shtukaturki/shtukaturka-dekorativnaya-osnovit-ekstervell-shuba-seraya/</t>
        </is>
      </c>
    </row>
    <row r="283">
      <c r="A283" s="8" t="inlineStr">
        <is>
          <t>Основит</t>
        </is>
      </c>
      <c r="B283" s="8" t="inlineStr">
        <is>
          <t>product</t>
        </is>
      </c>
      <c r="C283" s="8" t="inlineStr">
        <is>
          <t>Штукатурка декоративная шуба cупербелая Основит Экстервэлл 25 кг</t>
        </is>
      </c>
      <c r="D283" s="8" t="inlineStr">
        <is>
          <t>Основит Экстервэлл шуба минеральная</t>
        </is>
      </c>
      <c r="E283" s="8" t="inlineStr">
        <is>
          <t>супербелая</t>
        </is>
      </c>
      <c r="F283" s="8" t="inlineStr">
        <is>
          <t>decorative_plaster_dry</t>
        </is>
      </c>
      <c r="G283" s="8" t="inlineStr">
        <is>
          <t>yes</t>
        </is>
      </c>
      <c r="H283" s="8" t="inlineStr">
        <is>
          <t>Состав, применяемый в СФТК Основит с жестким креплением утеплителя, придающий системе внешнюю форму (текстуру покрытия) и внешний вид (цветность), а также обеспечивающий (совместно с базой) защиту системы от неблагоприятных факторов воздействия окружающей среды (ГОСТ Р 53786-2010). Также применяется вне системы для декорирования фасадов и внутренней отделки.</t>
        </is>
      </c>
      <c r="I283" s="8" t="inlineStr">
        <is>
          <t>25 кг</t>
        </is>
      </c>
      <c r="J283" s="8" t="inlineStr"/>
      <c r="K283" s="8" t="inlineStr"/>
      <c r="L283" s="8" t="inlineStr">
        <is>
          <t>https://osnovit.ru/catalog/dekorativnye-shtukaturki/shtukaturka-dekorativnaya-osnovit-ekstervell-25-kg-shuba-super-belaya/</t>
        </is>
      </c>
    </row>
    <row r="284">
      <c r="A284" s="8" t="inlineStr">
        <is>
          <t>Основит</t>
        </is>
      </c>
      <c r="B284" s="8" t="inlineStr">
        <is>
          <t>product</t>
        </is>
      </c>
      <c r="C284" s="8" t="inlineStr">
        <is>
          <t>Штукатурка декоративная шуба супербелая зимняя Основит Экстервэлл 25 кг</t>
        </is>
      </c>
      <c r="D284" s="8" t="inlineStr">
        <is>
          <t>Основит Экстервэлл шуба минеральная</t>
        </is>
      </c>
      <c r="E284" s="8" t="inlineStr">
        <is>
          <t>супербелая; зимняя</t>
        </is>
      </c>
      <c r="F284" s="8" t="inlineStr">
        <is>
          <t>decorative_plaster_dry</t>
        </is>
      </c>
      <c r="G284" s="8" t="inlineStr">
        <is>
          <t>yes</t>
        </is>
      </c>
      <c r="H284" s="8" t="inlineStr">
        <is>
          <t>Минеральная декоративная штукатурка Основит Экстервэлл предназначена для создания тонкослойного декоративно-защитного покрытия при отделке различных поверхностей, в том числе при устройстве системы фасадной теплоизоляции Основит, при низких температурах окружающего воздуха от -10°C до +10°C.</t>
        </is>
      </c>
      <c r="I284" s="8" t="inlineStr">
        <is>
          <t>25 кг</t>
        </is>
      </c>
      <c r="J284" s="8" t="inlineStr">
        <is>
          <t>2,9-3,1 кг/м²</t>
        </is>
      </c>
      <c r="K284" s="8" t="inlineStr">
        <is>
          <t>Зима, Новинка</t>
        </is>
      </c>
      <c r="L284" s="8" t="inlineStr">
        <is>
          <t>https://osnovit.ru/catalog/dekorativnye-shtukaturki-mineralnye/shtukaturka-dekorativnaya-osnovit-ekstervell-shuba-superbelaya-zimnyaya-seriya/</t>
        </is>
      </c>
    </row>
    <row r="285">
      <c r="A285" s="8" t="inlineStr">
        <is>
          <t>Основит</t>
        </is>
      </c>
      <c r="B285" s="8" t="inlineStr">
        <is>
          <t>product</t>
        </is>
      </c>
      <c r="C285" s="8" t="inlineStr">
        <is>
          <t>Грунт кварцевый белый Основит Экстерконт LP54 W 15 кг</t>
        </is>
      </c>
      <c r="D285" s="8" t="inlineStr">
        <is>
          <t>Основит Экстерконт LP54 W</t>
        </is>
      </c>
      <c r="E285" s="8" t="inlineStr">
        <is>
          <t>15 кг</t>
        </is>
      </c>
      <c r="F285" s="8" t="inlineStr">
        <is>
          <t>primer</t>
        </is>
      </c>
      <c r="G285" s="8" t="inlineStr">
        <is>
          <t>no</t>
        </is>
      </c>
      <c r="H285" s="8" t="inlineStr">
        <is>
          <t>Грунт белый кварцевый ОСНОВИТ ЭКСТЕРКОНТ LP54W предназначен для подготовки оснований под нанесения декоративных штукатурок.</t>
        </is>
      </c>
      <c r="I285" s="8" t="inlineStr">
        <is>
          <t>15 кг</t>
        </is>
      </c>
      <c r="J285" s="8" t="inlineStr">
        <is>
          <t>3–4 м 2 /кг</t>
        </is>
      </c>
      <c r="K285" s="8" t="inlineStr"/>
      <c r="L285" s="8" t="inlineStr">
        <is>
          <t>https://osnovit.ru/catalog/gruntovki/eksterkont-lp54-w/</t>
        </is>
      </c>
    </row>
    <row r="286">
      <c r="A286" s="8" t="inlineStr">
        <is>
          <t>Основит</t>
        </is>
      </c>
      <c r="B286" s="8" t="inlineStr">
        <is>
          <t>product</t>
        </is>
      </c>
      <c r="C286" s="8" t="inlineStr">
        <is>
          <t>Шпаклевка готовая ремонтная армированная Основит Элисилк PA39 H 1 кг</t>
        </is>
      </c>
      <c r="D286" s="8" t="inlineStr">
        <is>
          <t>Основит Элисилк PA39 H</t>
        </is>
      </c>
      <c r="E286" s="8" t="inlineStr">
        <is>
          <t>1 кг</t>
        </is>
      </c>
      <c r="F286" s="8" t="inlineStr">
        <is>
          <t>putty_ready_paste</t>
        </is>
      </c>
      <c r="G286" s="8" t="inlineStr">
        <is>
          <t>no</t>
        </is>
      </c>
      <c r="H286" s="8" t="inlineStr">
        <is>
          <t>готовая к применению предназначена для быстрого ремонта оснований. Рекомендуется для заделки швов и стыков ГКЛ и ГВЛ, заполнения локальных выбоин, углублений и неровностей в основании, впадин с саморезами, а также для устранения сколов на углах, восстановления геометрии конструкций, заполнения трещин за одно нанесение.</t>
        </is>
      </c>
      <c r="I286" s="8" t="inlineStr">
        <is>
          <t>1 кг</t>
        </is>
      </c>
      <c r="J286" s="8" t="inlineStr">
        <is>
          <t>1,1 кг/м²</t>
        </is>
      </c>
      <c r="K286" s="8" t="inlineStr"/>
      <c r="L286" s="8" t="inlineStr">
        <is>
          <t>https://osnovit.ru/catalog/shpaklevki/gotovaya-armirovannaya-shpaklevka-dlya-remontnykh-rabot-osnovit-elisilk-ra39-h-1-kg/</t>
        </is>
      </c>
    </row>
    <row r="287">
      <c r="A287" s="8" t="inlineStr">
        <is>
          <t>Основит</t>
        </is>
      </c>
      <c r="B287" s="8" t="inlineStr">
        <is>
          <t>product</t>
        </is>
      </c>
      <c r="C287" s="8" t="inlineStr">
        <is>
          <t>Шпаклевка готовая суперфинишная супербелая Основит Элисилк PA39 W</t>
        </is>
      </c>
      <c r="D287" s="8" t="inlineStr">
        <is>
          <t>Основит Элисилк PA39 W</t>
        </is>
      </c>
      <c r="E287" s="8" t="inlineStr"/>
      <c r="F287" s="8" t="inlineStr">
        <is>
          <t>putty_ready_paste</t>
        </is>
      </c>
      <c r="G287" s="8" t="inlineStr">
        <is>
          <t>no</t>
        </is>
      </c>
      <c r="H287" s="8" t="inlineStr">
        <is>
          <t>Шпаклевка готовая суперфинишная ОСНОВИТ ЭЛИСИЛК PA39 W предназначена для выравнивания стен и потолков внутри сухих и влажных отапливаемых помещений, для создания идеально гладкой поверхности высокого качества под окрашивание, нанесение венецианской штукатурки, оклеивание обоями.</t>
        </is>
      </c>
      <c r="I287" s="8" t="inlineStr">
        <is>
          <t>1, 5, 16, 28 кг</t>
        </is>
      </c>
      <c r="J287" s="8" t="inlineStr">
        <is>
          <t>1,6 кг/м²</t>
        </is>
      </c>
      <c r="K287" s="8" t="inlineStr"/>
      <c r="L287" s="8" t="inlineStr">
        <is>
          <t>https://osnovit.ru/catalog/shpaklevki/elisilk-pa39-w/</t>
        </is>
      </c>
    </row>
    <row r="288">
      <c r="A288" s="8" t="inlineStr">
        <is>
          <t>Основит</t>
        </is>
      </c>
      <c r="B288" s="8" t="inlineStr">
        <is>
          <t>duplicate_of_other</t>
        </is>
      </c>
      <c r="C288" s="8" t="inlineStr">
        <is>
          <t>Шпаклевка готовая суперфинишная супербелая Основит Элисилк PA39 W, толщина слоя 0-2 мм</t>
        </is>
      </c>
      <c r="D288" s="8" t="inlineStr">
        <is>
          <t>Основит Элисилк PA39 W</t>
        </is>
      </c>
      <c r="E288" s="8" t="inlineStr"/>
      <c r="F288" s="8" t="inlineStr">
        <is>
          <t>putty_ready_paste</t>
        </is>
      </c>
      <c r="G288" s="8" t="inlineStr">
        <is>
          <t>no</t>
        </is>
      </c>
      <c r="H288" s="8" t="inlineStr">
        <is>
          <t>Шпаклевка готовая суперфинишная ОСНОВИТ ЭЛИСИЛК PA39 W предназначена для выравнивания стен и потолков внутри сухих помещений при отделочных работах по бетонным, оштукатуренным поверхностям, древесноволокнистым и гипсокартонным плитам под высококачественную окраску или оклеивание обоями.</t>
        </is>
      </c>
      <c r="I288" s="8" t="inlineStr">
        <is>
          <t>1, 5, 16, 28 кг</t>
        </is>
      </c>
      <c r="J288" s="8" t="inlineStr">
        <is>
          <t>1,6 кг/м²</t>
        </is>
      </c>
      <c r="K288" s="8" t="inlineStr">
        <is>
          <t>Новинка</t>
        </is>
      </c>
      <c r="L288" s="8" t="inlineStr">
        <is>
          <t>https://osnovit.ru/catalog/shpaklevki-gotovye/shpaklevka-gotovaya-superfinishnaya-osnovit-elisilk-pa39-w/</t>
        </is>
      </c>
    </row>
    <row r="289">
      <c r="A289" s="8" t="inlineStr">
        <is>
          <t>Основит</t>
        </is>
      </c>
      <c r="B289" s="8" t="inlineStr">
        <is>
          <t>duplicate_of_other</t>
        </is>
      </c>
      <c r="C289" s="8" t="inlineStr">
        <is>
          <t>Шпаклевка готовая суперфинишная супербелая Основит Элисилк PA39 W, толщина слоя 0-2 мм</t>
        </is>
      </c>
      <c r="D289" s="8" t="inlineStr">
        <is>
          <t>Основит Элисилк PA39 W</t>
        </is>
      </c>
      <c r="E289" s="8" t="inlineStr"/>
      <c r="F289" s="8" t="inlineStr">
        <is>
          <t>putty_ready_paste</t>
        </is>
      </c>
      <c r="G289" s="8" t="inlineStr">
        <is>
          <t>no</t>
        </is>
      </c>
      <c r="H289" s="8" t="inlineStr">
        <is>
          <t>Шпаклевка готовая суперфинишная ОСНОВИТ ЭЛИСИЛК PA39 W предназначена для выравнивания стен и потолков внутри сухих помещений при отделочных работах по бетонным, оштукатуренным поверхностям, древесноволокнистым и гипсокартонным плитам под высококачественную окраску или оклеивание обоями.</t>
        </is>
      </c>
      <c r="I289" s="8" t="inlineStr">
        <is>
          <t>1, 5, 16, 28 кг</t>
        </is>
      </c>
      <c r="J289" s="8" t="inlineStr">
        <is>
          <t>1,6 кг/м²</t>
        </is>
      </c>
      <c r="K289" s="8" t="inlineStr">
        <is>
          <t>Новинка</t>
        </is>
      </c>
      <c r="L289" s="8" t="inlineStr">
        <is>
          <t>https://osnovit.ru/catalog/shpaklevki-gotovye/shpaklevka-gotovaya-superfinishnaya-osnovit-elisilk-pa39-w-5/</t>
        </is>
      </c>
    </row>
    <row r="290">
      <c r="A290" s="8" t="inlineStr">
        <is>
          <t>Основит</t>
        </is>
      </c>
      <c r="B290" s="8" t="inlineStr">
        <is>
          <t>product</t>
        </is>
      </c>
      <c r="C290" s="8" t="inlineStr">
        <is>
          <t>Шпаклевка гипсовая суперфинишная белая Основит Элисилк PG36 W</t>
        </is>
      </c>
      <c r="D290" s="8" t="inlineStr">
        <is>
          <t>Основит Элисилк PG36 W</t>
        </is>
      </c>
      <c r="E290" s="8" t="inlineStr"/>
      <c r="F290" s="8" t="inlineStr">
        <is>
          <t>putty_gypsum</t>
        </is>
      </c>
      <c r="G290" s="8" t="inlineStr">
        <is>
          <t>yes</t>
        </is>
      </c>
      <c r="H290" s="8" t="inlineStr">
        <is>
          <t>Шпаклевка ОСНОВИТ ЭЛИСИЛК PG36 W предназначена для окончательного выравнивания стен и потолков, для заделки швов ГКЛ и ГВЛ.</t>
        </is>
      </c>
      <c r="I290" s="8" t="inlineStr">
        <is>
          <t>5, 20 кг</t>
        </is>
      </c>
      <c r="J290" s="8" t="inlineStr">
        <is>
          <t>0,8-0,9 кг/м²</t>
        </is>
      </c>
      <c r="K290" s="8" t="inlineStr"/>
      <c r="L290" s="8" t="inlineStr">
        <is>
          <t>https://osnovit.ru/catalog/shpaklevki/elisilk-t-36-belaya/</t>
        </is>
      </c>
    </row>
    <row r="291">
      <c r="A291" s="8" t="inlineStr">
        <is>
          <t>Основит</t>
        </is>
      </c>
      <c r="B291" s="8" t="inlineStr">
        <is>
          <t>product</t>
        </is>
      </c>
      <c r="C291" s="8" t="inlineStr">
        <is>
          <t>Шпаклевка полимерная суперфинишная супербелая Основит Элисилк PP37 W 20 кг</t>
        </is>
      </c>
      <c r="D291" s="8" t="inlineStr">
        <is>
          <t>Основит Элисилк PP37 W</t>
        </is>
      </c>
      <c r="E291" s="8" t="inlineStr"/>
      <c r="F291" s="8" t="inlineStr">
        <is>
          <t>putty_polymer_dry</t>
        </is>
      </c>
      <c r="G291" s="8" t="inlineStr">
        <is>
          <t>yes</t>
        </is>
      </c>
      <c r="H291" s="8" t="inlineStr">
        <is>
          <t>Шпаклевка ОСНОВИТ ЭЛИСИЛК PP37 W предназначена для окончательного выравнивания стен и потолков в сухих и влажных помещениях.</t>
        </is>
      </c>
      <c r="I291" s="8" t="inlineStr">
        <is>
          <t>20 кг</t>
        </is>
      </c>
      <c r="J291" s="8" t="inlineStr">
        <is>
          <t>1 кг/м²</t>
        </is>
      </c>
      <c r="K291" s="8" t="inlineStr"/>
      <c r="L291" s="8" t="inlineStr">
        <is>
          <t>https://osnovit.ru/catalog/shpaklevki/elisilk-PP37/</t>
        </is>
      </c>
    </row>
    <row r="292">
      <c r="A292" s="8" t="inlineStr">
        <is>
          <t>Основит</t>
        </is>
      </c>
      <c r="B292" s="8" t="inlineStr">
        <is>
          <t>product_group_landing</t>
        </is>
      </c>
      <c r="C292" s="8" t="inlineStr">
        <is>
          <t>Грунты Основит</t>
        </is>
      </c>
      <c r="D292" s="8" t="inlineStr">
        <is>
          <t>Основит раздел Грунты</t>
        </is>
      </c>
      <c r="E292" s="8" t="inlineStr"/>
      <c r="F292" s="8" t="inlineStr">
        <is>
          <t>primer</t>
        </is>
      </c>
      <c r="G292" s="8" t="inlineStr">
        <is>
          <t>unclear</t>
        </is>
      </c>
      <c r="H292" s="8" t="inlineStr">
        <is>
          <t>Грунтовка Основит – это необходимый этап любого качественного ремонта, она создает прочное и долговечное основание под штукатурку, шпаклевку, плитку, краску или обои.</t>
        </is>
      </c>
      <c r="I292" s="8" t="inlineStr"/>
      <c r="J292" s="8" t="inlineStr"/>
      <c r="K292" s="8" t="inlineStr"/>
      <c r="L292" s="8" t="inlineStr">
        <is>
          <t>https://osnovit.ru/catalog/gruntovki/</t>
        </is>
      </c>
    </row>
    <row r="293">
      <c r="A293" s="8" t="inlineStr">
        <is>
          <t>Основит</t>
        </is>
      </c>
      <c r="B293" s="8" t="inlineStr">
        <is>
          <t>product_group_landing</t>
        </is>
      </c>
      <c r="C293" s="8" t="inlineStr">
        <is>
          <t>Кладочные растворы Основит</t>
        </is>
      </c>
      <c r="D293" s="8" t="inlineStr">
        <is>
          <t>Основит раздел Кладочные растворы</t>
        </is>
      </c>
      <c r="E293" s="8" t="inlineStr"/>
      <c r="F293" s="8" t="inlineStr">
        <is>
          <t>masonry_ordinary</t>
        </is>
      </c>
      <c r="G293" s="8" t="inlineStr">
        <is>
          <t>unclear</t>
        </is>
      </c>
      <c r="H293" s="8" t="inlineStr">
        <is>
          <t>Составы Основит обеспечивают надежное сцепление материалов, устойчивость к усадке и высокую морозостойкость. Они подходят для возведения стен, заборов, лестниц и других архитектурных элементов.</t>
        </is>
      </c>
      <c r="I293" s="8" t="inlineStr"/>
      <c r="J293" s="8" t="inlineStr"/>
      <c r="K293" s="8" t="inlineStr"/>
      <c r="L293" s="8" t="inlineStr">
        <is>
          <t>https://osnovit.ru/catalog/kladochnye-rastvory/</t>
        </is>
      </c>
    </row>
    <row r="294">
      <c r="A294" s="8" t="inlineStr">
        <is>
          <t>Perel</t>
        </is>
      </c>
      <c r="B294" s="8" t="inlineStr">
        <is>
          <t>product_group_landing</t>
        </is>
      </c>
      <c r="C294" s="8" t="inlineStr">
        <is>
          <t>Затирка для натурального камня</t>
        </is>
      </c>
      <c r="D294" s="8" t="inlineStr"/>
      <c r="E294" s="8" t="inlineStr"/>
      <c r="F294" s="8" t="inlineStr">
        <is>
          <t>joint_pointing_brick</t>
        </is>
      </c>
      <c r="G294" s="8" t="inlineStr">
        <is>
          <t>unclear</t>
        </is>
      </c>
      <c r="H294" s="8" t="inlineStr">
        <is>
          <t>Для заполнения швов при строительных работах с натуральным камнем, природным облицовочным камнем.</t>
        </is>
      </c>
      <c r="I294" s="8" t="inlineStr"/>
      <c r="J294" s="8" t="inlineStr"/>
      <c r="K294" s="8" t="inlineStr"/>
      <c r="L294" s="8" t="inlineStr">
        <is>
          <t>https://td-perel.ru/catalog/zatirki-i-rasshivki/zatirka-dlya-naturalnogo-kamnya/</t>
        </is>
      </c>
    </row>
    <row r="295">
      <c r="A295" s="8" t="inlineStr">
        <is>
          <t>Perel</t>
        </is>
      </c>
      <c r="B295" s="8" t="inlineStr">
        <is>
          <t>duplicate_of_other</t>
        </is>
      </c>
      <c r="C295" s="8" t="inlineStr">
        <is>
          <t>Затирка для натурального камня</t>
        </is>
      </c>
      <c r="D295" s="8" t="inlineStr"/>
      <c r="E295" s="8" t="inlineStr"/>
      <c r="F295" s="8" t="inlineStr">
        <is>
          <t>joint_pointing_brick</t>
        </is>
      </c>
      <c r="G295" s="8" t="inlineStr">
        <is>
          <t>unclear</t>
        </is>
      </c>
      <c r="H295" s="8" t="inlineStr">
        <is>
          <t>Для заполнения швов при строительных работах с натуральным камнем, природным облицовочным камнем.</t>
        </is>
      </c>
      <c r="I295" s="8" t="inlineStr"/>
      <c r="J295" s="8" t="inlineStr"/>
      <c r="K295" s="8" t="inlineStr"/>
      <c r="L295" s="8" t="inlineStr">
        <is>
          <t>https://td-perel.ru/catalog/zatirki-i-rasshivki/zatirka-dlya-kamnya/</t>
        </is>
      </c>
    </row>
    <row r="296">
      <c r="A296" s="8" t="inlineStr">
        <is>
          <t>Perel</t>
        </is>
      </c>
      <c r="B296" s="8" t="inlineStr">
        <is>
          <t>product_group_landing</t>
        </is>
      </c>
      <c r="C296" s="8" t="inlineStr">
        <is>
          <t>затирка швов клинкерной плитки</t>
        </is>
      </c>
      <c r="D296" s="8" t="inlineStr"/>
      <c r="E296" s="8" t="inlineStr"/>
      <c r="F296" s="8" t="inlineStr">
        <is>
          <t>joint_pointing_brick</t>
        </is>
      </c>
      <c r="G296" s="8" t="inlineStr">
        <is>
          <t>unclear</t>
        </is>
      </c>
      <c r="H296" s="8" t="inlineStr">
        <is>
          <t>Выбор цвета затирочной смеси для заполнения широких швов (натуральный и искусственный камень, облицовочная плитка и термопанели, кирпичная кладка)</t>
        </is>
      </c>
      <c r="I296" s="8" t="inlineStr"/>
      <c r="J296" s="8" t="inlineStr"/>
      <c r="K296" s="8" t="inlineStr"/>
      <c r="L296" s="8" t="inlineStr">
        <is>
          <t>https://td-perel.ru/catalog/zatirki-i-rasshivki/klinker/</t>
        </is>
      </c>
    </row>
    <row r="297">
      <c r="A297" s="8" t="inlineStr">
        <is>
          <t>Perel</t>
        </is>
      </c>
      <c r="B297" s="8" t="inlineStr">
        <is>
          <t>product</t>
        </is>
      </c>
      <c r="C297" s="8" t="inlineStr">
        <is>
          <t>Perel Acrilico, короед 1,5 мм</t>
        </is>
      </c>
      <c r="D297" s="8" t="inlineStr">
        <is>
          <t>Perel Acrilico короед</t>
        </is>
      </c>
      <c r="E297" s="8" t="inlineStr">
        <is>
          <t>фракция 1,5 мм</t>
        </is>
      </c>
      <c r="F297" s="8" t="inlineStr">
        <is>
          <t>decorative_plaster_paste</t>
        </is>
      </c>
      <c r="G297" s="8" t="inlineStr">
        <is>
          <t>no</t>
        </is>
      </c>
      <c r="H297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297" s="8" t="inlineStr">
        <is>
          <t>18кг. Пластиковое ведро.</t>
        </is>
      </c>
      <c r="J297" s="8" t="inlineStr"/>
      <c r="K297" s="8" t="inlineStr">
        <is>
          <t>В наличии</t>
        </is>
      </c>
      <c r="L297" s="8" t="inlineStr">
        <is>
          <t>https://td-perel.ru/catalog/akrilovaya/perel-acrilico-koroed/</t>
        </is>
      </c>
    </row>
    <row r="298">
      <c r="A298" s="8" t="inlineStr">
        <is>
          <t>Perel</t>
        </is>
      </c>
      <c r="B298" s="8" t="inlineStr">
        <is>
          <t>product</t>
        </is>
      </c>
      <c r="C298" s="8" t="inlineStr">
        <is>
          <t>Perel Acrilico, короед 2 мм</t>
        </is>
      </c>
      <c r="D298" s="8" t="inlineStr">
        <is>
          <t>Perel Acrilico короед</t>
        </is>
      </c>
      <c r="E298" s="8" t="inlineStr">
        <is>
          <t>фракция 2 мм</t>
        </is>
      </c>
      <c r="F298" s="8" t="inlineStr">
        <is>
          <t>decorative_plaster_paste</t>
        </is>
      </c>
      <c r="G298" s="8" t="inlineStr">
        <is>
          <t>no</t>
        </is>
      </c>
      <c r="H298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298" s="8" t="inlineStr">
        <is>
          <t>18кг. Пластиковое ведро.</t>
        </is>
      </c>
      <c r="J298" s="8" t="inlineStr"/>
      <c r="K298" s="8" t="inlineStr">
        <is>
          <t>В наличии</t>
        </is>
      </c>
      <c r="L298" s="8" t="inlineStr">
        <is>
          <t>https://td-perel.ru/catalog/akrilovaya/perel-acrilico-koroed5676/</t>
        </is>
      </c>
    </row>
    <row r="299">
      <c r="A299" s="8" t="inlineStr">
        <is>
          <t>Perel</t>
        </is>
      </c>
      <c r="B299" s="8" t="inlineStr">
        <is>
          <t>product</t>
        </is>
      </c>
      <c r="C299" s="8" t="inlineStr">
        <is>
          <t>Perel Acrilico, короед 2,5 мм</t>
        </is>
      </c>
      <c r="D299" s="8" t="inlineStr">
        <is>
          <t>Perel Acrilico короед</t>
        </is>
      </c>
      <c r="E299" s="8" t="inlineStr">
        <is>
          <t>фракция 2,5 мм</t>
        </is>
      </c>
      <c r="F299" s="8" t="inlineStr">
        <is>
          <t>decorative_plaster_paste</t>
        </is>
      </c>
      <c r="G299" s="8" t="inlineStr">
        <is>
          <t>no</t>
        </is>
      </c>
      <c r="H299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299" s="8" t="inlineStr">
        <is>
          <t>18кг. Пластиковое ведро.</t>
        </is>
      </c>
      <c r="J299" s="8" t="inlineStr"/>
      <c r="K299" s="8" t="inlineStr">
        <is>
          <t>В наличии</t>
        </is>
      </c>
      <c r="L299" s="8" t="inlineStr">
        <is>
          <t>https://td-perel.ru/catalog/akrilovaya/perel-acrilico-koroed56766114/</t>
        </is>
      </c>
    </row>
    <row r="300">
      <c r="A300" s="8" t="inlineStr">
        <is>
          <t>Perel</t>
        </is>
      </c>
      <c r="B300" s="8" t="inlineStr">
        <is>
          <t>product</t>
        </is>
      </c>
      <c r="C300" s="8" t="inlineStr">
        <is>
          <t>Perel Acrilico, шуба 1,5 мм</t>
        </is>
      </c>
      <c r="D300" s="8" t="inlineStr">
        <is>
          <t>Perel Acrilico шуба</t>
        </is>
      </c>
      <c r="E300" s="8" t="inlineStr">
        <is>
          <t>фракция 1,5 мм</t>
        </is>
      </c>
      <c r="F300" s="8" t="inlineStr">
        <is>
          <t>decorative_plaster_paste</t>
        </is>
      </c>
      <c r="G300" s="8" t="inlineStr">
        <is>
          <t>no</t>
        </is>
      </c>
      <c r="H300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300" s="8" t="inlineStr">
        <is>
          <t>18кг. Пластиковое ведро.</t>
        </is>
      </c>
      <c r="J300" s="8" t="inlineStr"/>
      <c r="K300" s="8" t="inlineStr">
        <is>
          <t>В наличии</t>
        </is>
      </c>
      <c r="L300" s="8" t="inlineStr">
        <is>
          <t>https://td-perel.ru/catalog/akrilovaya/perel-acrilico-shuba/</t>
        </is>
      </c>
    </row>
    <row r="301">
      <c r="A301" s="8" t="inlineStr">
        <is>
          <t>Perel</t>
        </is>
      </c>
      <c r="B301" s="8" t="inlineStr">
        <is>
          <t>product</t>
        </is>
      </c>
      <c r="C301" s="8" t="inlineStr">
        <is>
          <t>Perel Acrilico, шуба 2 мм</t>
        </is>
      </c>
      <c r="D301" s="8" t="inlineStr">
        <is>
          <t>Perel Acrilico шуба</t>
        </is>
      </c>
      <c r="E301" s="8" t="inlineStr">
        <is>
          <t>фракция 2 мм</t>
        </is>
      </c>
      <c r="F301" s="8" t="inlineStr">
        <is>
          <t>decorative_plaster_paste</t>
        </is>
      </c>
      <c r="G301" s="8" t="inlineStr">
        <is>
          <t>no</t>
        </is>
      </c>
      <c r="H301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301" s="8" t="inlineStr">
        <is>
          <t>18кг. Пластиковое ведро.</t>
        </is>
      </c>
      <c r="J301" s="8" t="inlineStr"/>
      <c r="K301" s="8" t="inlineStr">
        <is>
          <t>В наличии</t>
        </is>
      </c>
      <c r="L301" s="8" t="inlineStr">
        <is>
          <t>https://td-perel.ru/catalog/akrilovaya/perel-acrilico-shuba8306/</t>
        </is>
      </c>
    </row>
    <row r="302">
      <c r="A302" s="8" t="inlineStr">
        <is>
          <t>Perel</t>
        </is>
      </c>
      <c r="B302" s="8" t="inlineStr">
        <is>
          <t>product</t>
        </is>
      </c>
      <c r="C302" s="8" t="inlineStr">
        <is>
          <t>Perel Acrilico, шуба 2,5 мм</t>
        </is>
      </c>
      <c r="D302" s="8" t="inlineStr">
        <is>
          <t>Perel Acrilico шуба</t>
        </is>
      </c>
      <c r="E302" s="8" t="inlineStr">
        <is>
          <t>фракция 2,5 мм</t>
        </is>
      </c>
      <c r="F302" s="8" t="inlineStr">
        <is>
          <t>decorative_plaster_paste</t>
        </is>
      </c>
      <c r="G302" s="8" t="inlineStr">
        <is>
          <t>no</t>
        </is>
      </c>
      <c r="H302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302" s="8" t="inlineStr">
        <is>
          <t>18кг. Пластиковое ведро.</t>
        </is>
      </c>
      <c r="J302" s="8" t="inlineStr"/>
      <c r="K302" s="8" t="inlineStr">
        <is>
          <t>В наличии</t>
        </is>
      </c>
      <c r="L302" s="8" t="inlineStr">
        <is>
          <t>https://td-perel.ru/catalog/akrilovaya/perel-acrilico-shuba83061300/</t>
        </is>
      </c>
    </row>
    <row r="303">
      <c r="A303" s="8" t="inlineStr">
        <is>
          <t>Perel</t>
        </is>
      </c>
      <c r="B303" s="8" t="inlineStr">
        <is>
          <t>product</t>
        </is>
      </c>
      <c r="C303" s="8" t="inlineStr">
        <is>
          <t>Perel Aquastop, 25 кг, гидроизоляционная смесь</t>
        </is>
      </c>
      <c r="D303" s="8" t="inlineStr">
        <is>
          <t>Perel Aquastop</t>
        </is>
      </c>
      <c r="E303" s="8" t="inlineStr">
        <is>
          <t>25 кг</t>
        </is>
      </c>
      <c r="F303" s="8" t="inlineStr">
        <is>
          <t>waterproofing_dry</t>
        </is>
      </c>
      <c r="G303" s="8" t="inlineStr">
        <is>
          <t>yes</t>
        </is>
      </c>
      <c r="H303" s="8" t="inlineStr">
        <is>
          <t>Обмазочная жесткая гидроизоляционная смесь на основе цемента, фракционированного песка и гидрофобного полимера, для защиты подвальных помещений, цокольных этажей, бассейнов, ванных комнат, отмосток, фундаментов и т.п. от проникновения воды.</t>
        </is>
      </c>
      <c r="I303" s="8" t="inlineStr">
        <is>
          <t>Бумажные крафт-мешки по 25 кг.</t>
        </is>
      </c>
      <c r="J303" s="8" t="inlineStr">
        <is>
          <t>Около 4-5 кг/м² при нанесении в два слоя общей толщиной 2-3 мм.</t>
        </is>
      </c>
      <c r="K303" s="8" t="inlineStr">
        <is>
          <t>В наличии</t>
        </is>
      </c>
      <c r="L303" s="8" t="inlineStr">
        <is>
          <t>https://td-perel.ru/catalog/gidroizolyatsiya/perel-aquastop-0810/</t>
        </is>
      </c>
    </row>
    <row r="304">
      <c r="A304" s="8" t="inlineStr">
        <is>
          <t>Perel</t>
        </is>
      </c>
      <c r="B304" s="8" t="inlineStr">
        <is>
          <t>product</t>
        </is>
      </c>
      <c r="C304" s="8" t="inlineStr">
        <is>
          <t>Perel BASIS C0, 25 кг, клеевая смесь</t>
        </is>
      </c>
      <c r="D304" s="8" t="inlineStr">
        <is>
          <t>Perel BASIS C0</t>
        </is>
      </c>
      <c r="E304" s="8" t="inlineStr">
        <is>
          <t>25 кг</t>
        </is>
      </c>
      <c r="F304" s="8" t="inlineStr">
        <is>
          <t>tile_adhesive</t>
        </is>
      </c>
      <c r="G304" s="8" t="inlineStr">
        <is>
          <t>yes</t>
        </is>
      </c>
      <c r="H304" s="8" t="inlineStr">
        <is>
          <t>Клеевая смесь Perel Basis C0 на основе цемента с добавлением химических добавок для укладки на пол и стены всех видов керамической плитки.</t>
        </is>
      </c>
      <c r="I304" s="8" t="inlineStr">
        <is>
          <t>Бумажные крафт-мешки 25 кг.</t>
        </is>
      </c>
      <c r="J304" s="8" t="inlineStr">
        <is>
          <t>3,5-5,0 кг смеси на м2 при использовании зубчатого шпателя 6×6 мм.</t>
        </is>
      </c>
      <c r="K304" s="8" t="inlineStr">
        <is>
          <t>В наличии</t>
        </is>
      </c>
      <c r="L304" s="8" t="inlineStr">
        <is>
          <t>https://td-perel.ru/catalog/klei-dlya-plitki-i-kamnya/kleevaya-smes-perel-basis-c0-25-kg/</t>
        </is>
      </c>
    </row>
    <row r="305">
      <c r="A305" s="8" t="inlineStr">
        <is>
          <t>Perel</t>
        </is>
      </c>
      <c r="B305" s="8" t="inlineStr">
        <is>
          <t>product</t>
        </is>
      </c>
      <c r="C305" s="8" t="inlineStr">
        <is>
          <t>Белый клей для блоков Perel Blokus 25 кг</t>
        </is>
      </c>
      <c r="D305" s="8" t="inlineStr">
        <is>
          <t>Perel Blokus</t>
        </is>
      </c>
      <c r="E305" s="8" t="inlineStr">
        <is>
          <t>белый, 25 кг</t>
        </is>
      </c>
      <c r="F305" s="8" t="inlineStr">
        <is>
          <t>block_adhesive</t>
        </is>
      </c>
      <c r="G305" s="8" t="inlineStr">
        <is>
          <t>yes</t>
        </is>
      </c>
      <c r="H305" s="8" t="inlineStr">
        <is>
          <t>Сверхпластичный белый клей на цементно-известковой основе и полимерных добавок применяется для монтажа блоков и плит из ячеистого бетона, газосиликата и газобетона.</t>
        </is>
      </c>
      <c r="I305" s="8" t="inlineStr">
        <is>
          <t>Бумажные крафт-мешки - 25 кг.</t>
        </is>
      </c>
      <c r="J305" s="8" t="inlineStr">
        <is>
          <t>8-9 кг/м 2 стандартного блока 600*200*300 при слое кладки 5 мм.</t>
        </is>
      </c>
      <c r="K305" s="8" t="inlineStr">
        <is>
          <t>Хит, В наличии</t>
        </is>
      </c>
      <c r="L305" s="8" t="inlineStr">
        <is>
          <t>https://td-perel.ru/catalog/montazhnyy-kley/perel-blokus-25-kg/</t>
        </is>
      </c>
    </row>
    <row r="306">
      <c r="A306" s="8" t="inlineStr">
        <is>
          <t>Perel</t>
        </is>
      </c>
      <c r="B306" s="8" t="inlineStr">
        <is>
          <t>product</t>
        </is>
      </c>
      <c r="C306" s="8" t="inlineStr">
        <is>
          <t>Белый клей для блоков Perel Blokus 40 кг</t>
        </is>
      </c>
      <c r="D306" s="8" t="inlineStr">
        <is>
          <t>Perel Blokus</t>
        </is>
      </c>
      <c r="E306" s="8" t="inlineStr">
        <is>
          <t>белый, 40 кг</t>
        </is>
      </c>
      <c r="F306" s="8" t="inlineStr">
        <is>
          <t>block_adhesive</t>
        </is>
      </c>
      <c r="G306" s="8" t="inlineStr">
        <is>
          <t>yes</t>
        </is>
      </c>
      <c r="H306" s="8" t="inlineStr">
        <is>
          <t>Сверхпластичный белый клей на цементно-известковой основе и полимерных добавок применяется для монтажа блоков и плит из ячеистого бетона, газосиликата и газобетона.</t>
        </is>
      </c>
      <c r="I306" s="8" t="inlineStr">
        <is>
          <t>Бумажные крафт-мешки - 40кг.</t>
        </is>
      </c>
      <c r="J306" s="8" t="inlineStr">
        <is>
          <t>8-9 кг/м 2 стандартного блока 600*200*300 при слое кладки 5 мм.</t>
        </is>
      </c>
      <c r="K306" s="8" t="inlineStr">
        <is>
          <t>Хит, В наличии</t>
        </is>
      </c>
      <c r="L306" s="8" t="inlineStr">
        <is>
          <t>https://td-perel.ru/catalog/montazhnyy-kley/perel-blokus-40-kg-belyy/</t>
        </is>
      </c>
    </row>
    <row r="307">
      <c r="A307" s="8" t="inlineStr">
        <is>
          <t>Perel</t>
        </is>
      </c>
      <c r="B307" s="8" t="inlineStr">
        <is>
          <t>product_group_landing</t>
        </is>
      </c>
      <c r="C307" s="8" t="inlineStr">
        <is>
          <t>Белый клей для блоков</t>
        </is>
      </c>
      <c r="D307" s="8" t="inlineStr">
        <is>
          <t>Perel Blokus</t>
        </is>
      </c>
      <c r="E307" s="8" t="inlineStr">
        <is>
          <t>подборка: белый клей (25 и 40 кг)</t>
        </is>
      </c>
      <c r="F307" s="8" t="inlineStr">
        <is>
          <t>block_adhesive</t>
        </is>
      </c>
      <c r="G307" s="8" t="inlineStr">
        <is>
          <t>yes</t>
        </is>
      </c>
      <c r="H307" s="8" t="inlineStr">
        <is>
          <t>Специальная белая клеевая смесь применяется для тонкослойной кладки несущих стен и перегородок из газобетонных, пенобетонных, газосиликатных, силикатных и керамзитобетонных блоков при толщине клеевого шва от 1 до 5 мм.</t>
        </is>
      </c>
      <c r="I307" s="8" t="inlineStr"/>
      <c r="J307" s="8" t="inlineStr">
        <is>
          <t>Усреднённый расход клея: 25 кг на 1 м 3 блоков.</t>
        </is>
      </c>
      <c r="K307" s="8" t="inlineStr"/>
      <c r="L307" s="8" t="inlineStr">
        <is>
          <t>https://td-perel.ru/catalog/montazhnyy-kley/belyi-kley/</t>
        </is>
      </c>
    </row>
    <row r="308">
      <c r="A308" s="8" t="inlineStr">
        <is>
          <t>Perel</t>
        </is>
      </c>
      <c r="B308" s="8" t="inlineStr">
        <is>
          <t>product_group_landing</t>
        </is>
      </c>
      <c r="C308" s="8" t="inlineStr">
        <is>
          <t>Клей для газобетонных блоков</t>
        </is>
      </c>
      <c r="D308" s="8" t="inlineStr">
        <is>
          <t>Perel Blokus</t>
        </is>
      </c>
      <c r="E308" s="8" t="inlineStr">
        <is>
          <t>подборка: клей для газобетона (все Blokus)</t>
        </is>
      </c>
      <c r="F308" s="8" t="inlineStr">
        <is>
          <t>block_adhesive</t>
        </is>
      </c>
      <c r="G308" s="8" t="inlineStr">
        <is>
          <t>yes</t>
        </is>
      </c>
      <c r="H308" s="8" t="inlineStr">
        <is>
          <t>Подходит д ля кладки блоков и плит из ячеистого бетона, пенобетона, газосиликата, газобетона и т.п..</t>
        </is>
      </c>
      <c r="I308" s="8" t="inlineStr"/>
      <c r="J308" s="8" t="inlineStr">
        <is>
          <t>Усреднённый расход клея 25 кг на 1 м 3 для блоков из газобетона.</t>
        </is>
      </c>
      <c r="K308" s="8" t="inlineStr"/>
      <c r="L308" s="8" t="inlineStr">
        <is>
          <t>https://td-perel.ru/catalog/montazhnyy-kley/kley-gaz/</t>
        </is>
      </c>
    </row>
    <row r="309">
      <c r="A309" s="8" t="inlineStr">
        <is>
          <t>Perel</t>
        </is>
      </c>
      <c r="B309" s="8" t="inlineStr">
        <is>
          <t>product</t>
        </is>
      </c>
      <c r="C309" s="8" t="inlineStr">
        <is>
          <t>Perel Blokus 25 кг, серый</t>
        </is>
      </c>
      <c r="D309" s="8" t="inlineStr">
        <is>
          <t>Perel Blokus</t>
        </is>
      </c>
      <c r="E309" s="8" t="inlineStr">
        <is>
          <t>серый, 25 кг</t>
        </is>
      </c>
      <c r="F309" s="8" t="inlineStr">
        <is>
          <t>block_adhesive</t>
        </is>
      </c>
      <c r="G309" s="8" t="inlineStr">
        <is>
          <t>yes</t>
        </is>
      </c>
      <c r="H309" s="8" t="inlineStr">
        <is>
          <t>Для кладки блоков и плит из ячеистого бетона, пенобетона, газосиликата и газобетона и т.п.. Исключает появление «мостиков холода» в швах кладки блоков благодаря тонкослойному кладочному шву 2-5 мм.</t>
        </is>
      </c>
      <c r="I309" s="8" t="inlineStr">
        <is>
          <t>Бумажные крафт-мешки - 25 кг.</t>
        </is>
      </c>
      <c r="J309" s="8" t="inlineStr">
        <is>
          <t>8-9 кг/м 2 стандартного блока 600*200*300 при слое кладки 5 мм.</t>
        </is>
      </c>
      <c r="K309" s="8" t="inlineStr">
        <is>
          <t>Хит, В наличии</t>
        </is>
      </c>
      <c r="L309" s="8" t="inlineStr">
        <is>
          <t>https://td-perel.ru/catalog/montazhnyy-kley/perel_blokus_25_kg_seryy/</t>
        </is>
      </c>
    </row>
    <row r="310">
      <c r="A310" s="8" t="inlineStr">
        <is>
          <t>Perel</t>
        </is>
      </c>
      <c r="B310" s="8" t="inlineStr">
        <is>
          <t>product</t>
        </is>
      </c>
      <c r="C310" s="8" t="inlineStr">
        <is>
          <t>Perel Blokus 40 кг, серый</t>
        </is>
      </c>
      <c r="D310" s="8" t="inlineStr">
        <is>
          <t>Perel Blokus</t>
        </is>
      </c>
      <c r="E310" s="8" t="inlineStr">
        <is>
          <t>серый, 40 кг</t>
        </is>
      </c>
      <c r="F310" s="8" t="inlineStr">
        <is>
          <t>block_adhesive</t>
        </is>
      </c>
      <c r="G310" s="8" t="inlineStr">
        <is>
          <t>yes</t>
        </is>
      </c>
      <c r="H310" s="8" t="inlineStr">
        <is>
          <t>Сверхпластичная клеевая смесь на цементно-известковой основе и полимерных добавок применяется для монтажа блоков и плит из ячеистого бетона, газосиликата и газобетона.</t>
        </is>
      </c>
      <c r="I310" s="8" t="inlineStr">
        <is>
          <t>Бумажные крафт-мешки - 40кг.</t>
        </is>
      </c>
      <c r="J310" s="8" t="inlineStr">
        <is>
          <t>8-9 кг/м 2 стандартного блока 600*200*300 при слое кладки 5 мм.</t>
        </is>
      </c>
      <c r="K310" s="8" t="inlineStr">
        <is>
          <t>Хит, В наличии</t>
        </is>
      </c>
      <c r="L310" s="8" t="inlineStr">
        <is>
          <t>https://td-perel.ru/catalog/montazhnyy-kley/perel-blokus-25-kg3420/</t>
        </is>
      </c>
    </row>
    <row r="311">
      <c r="A311" s="8" t="inlineStr">
        <is>
          <t>Perel</t>
        </is>
      </c>
      <c r="B311" s="8" t="inlineStr">
        <is>
          <t>product</t>
        </is>
      </c>
      <c r="C311" s="8" t="inlineStr">
        <is>
          <t>Perel Cemento, короед 2 мм</t>
        </is>
      </c>
      <c r="D311" s="8" t="inlineStr">
        <is>
          <t>Perel Cemento</t>
        </is>
      </c>
      <c r="E311" s="8" t="inlineStr">
        <is>
          <t>короед 2 мм</t>
        </is>
      </c>
      <c r="F311" s="8" t="inlineStr">
        <is>
          <t>decorative_plaster_dry</t>
        </is>
      </c>
      <c r="G311" s="8" t="inlineStr">
        <is>
          <t>yes</t>
        </is>
      </c>
      <c r="H311" s="8" t="inlineStr">
        <is>
          <t>Специализированная смесь на основе супербелого цемента, мраморных наполнителей и полимерных добавок для создания структурной поверхности при выполнении декоративного отделочного покрытия фасадов зданий и внутренних помещений.</t>
        </is>
      </c>
      <c r="I311" s="8" t="inlineStr">
        <is>
          <t>Бумажные крафт-мешки по 25 кг.</t>
        </is>
      </c>
      <c r="J311" s="8" t="inlineStr">
        <is>
          <t>4,0 - 4,5 кг/м2 при толщине слоя 2 мм.</t>
        </is>
      </c>
      <c r="K311" s="8" t="inlineStr">
        <is>
          <t>В наличии</t>
        </is>
      </c>
      <c r="L311" s="8" t="inlineStr">
        <is>
          <t>https://td-perel.ru/catalog/tsementnaya/perel-cemento-koroed-2-mm/</t>
        </is>
      </c>
    </row>
    <row r="312">
      <c r="A312" s="8" t="inlineStr">
        <is>
          <t>Perel</t>
        </is>
      </c>
      <c r="B312" s="8" t="inlineStr">
        <is>
          <t>product</t>
        </is>
      </c>
      <c r="C312" s="8" t="inlineStr">
        <is>
          <t>Perel Cemento, шуба 2 мм</t>
        </is>
      </c>
      <c r="D312" s="8" t="inlineStr">
        <is>
          <t>Perel Cemento</t>
        </is>
      </c>
      <c r="E312" s="8" t="inlineStr">
        <is>
          <t>шуба 2 мм</t>
        </is>
      </c>
      <c r="F312" s="8" t="inlineStr">
        <is>
          <t>decorative_plaster_dry</t>
        </is>
      </c>
      <c r="G312" s="8" t="inlineStr">
        <is>
          <t>yes</t>
        </is>
      </c>
      <c r="H312" s="8" t="inlineStr">
        <is>
          <t>Специализированная смесь на основе супербелого цемента, мраморных наполнителей и полимерных добавок для создания структурной поверхности при выполнении декоративного отделочного покрытия фасадов зданий и внутренних помещений.</t>
        </is>
      </c>
      <c r="I312" s="8" t="inlineStr">
        <is>
          <t>Бумажные крафт-мешки по 25 кг.</t>
        </is>
      </c>
      <c r="J312" s="8" t="inlineStr">
        <is>
          <t>4,0 – 4,5 кг/м2 при толщине слоя 2 мм.</t>
        </is>
      </c>
      <c r="K312" s="8" t="inlineStr">
        <is>
          <t>В наличии</t>
        </is>
      </c>
      <c r="L312" s="8" t="inlineStr">
        <is>
          <t>https://td-perel.ru/catalog/tsementnaya/perel-cemento/</t>
        </is>
      </c>
    </row>
    <row r="313">
      <c r="A313" s="8" t="inlineStr">
        <is>
          <t>Perel</t>
        </is>
      </c>
      <c r="B313" s="8" t="inlineStr">
        <is>
          <t>product</t>
        </is>
      </c>
      <c r="C313" s="8" t="inlineStr">
        <is>
          <t>Perel Elastico, 14 кг, высокоэластичная резиновая краска</t>
        </is>
      </c>
      <c r="D313" s="8" t="inlineStr">
        <is>
          <t>Perel Elastico</t>
        </is>
      </c>
      <c r="E313" s="8" t="inlineStr">
        <is>
          <t>14 кг</t>
        </is>
      </c>
      <c r="F313" s="8" t="inlineStr">
        <is>
          <t>paint</t>
        </is>
      </c>
      <c r="G313" s="8" t="inlineStr">
        <is>
          <t>no</t>
        </is>
      </c>
      <c r="H313" s="8" t="inlineStr">
        <is>
          <t>Применяется для выполнения работ на ровных основаниях из бетона, кирпича, блоков, ГКЛ, ПГП, дерева, ДСП, ДВП, в местах с высокими эксплуатационными нагрузками, подверженных постоянному воздействию воды.</t>
        </is>
      </c>
      <c r="I313" s="8" t="inlineStr">
        <is>
          <t>14 кг</t>
        </is>
      </c>
      <c r="J313" s="8" t="inlineStr"/>
      <c r="K313" s="8" t="inlineStr">
        <is>
          <t>В наличии</t>
        </is>
      </c>
      <c r="L313" s="8" t="inlineStr">
        <is>
          <t>https://td-perel.ru/catalog/kraski/perel-elastico-14-kg/</t>
        </is>
      </c>
    </row>
    <row r="314">
      <c r="A314" s="8" t="inlineStr">
        <is>
          <t>Perel</t>
        </is>
      </c>
      <c r="B314" s="8" t="inlineStr">
        <is>
          <t>product</t>
        </is>
      </c>
      <c r="C314" s="8" t="inlineStr">
        <is>
          <t>Perel Express, 25 кг, быстротвердеющая цементная стяжка</t>
        </is>
      </c>
      <c r="D314" s="8" t="inlineStr">
        <is>
          <t>Perel Express</t>
        </is>
      </c>
      <c r="E314" s="8" t="inlineStr">
        <is>
          <t>25 кг</t>
        </is>
      </c>
      <c r="F314" s="8" t="inlineStr">
        <is>
          <t>floor_screed</t>
        </is>
      </c>
      <c r="G314" s="8" t="inlineStr">
        <is>
          <t>yes</t>
        </is>
      </c>
      <c r="H314" s="8" t="inlineStr">
        <is>
          <t>Быстротвердеющая цементная основа для пола применяется для выравнивания бетонных полов в жилых помещениях и общественных зданиях с нагрузкой на пол не более 200 кг/см² (М200).</t>
        </is>
      </c>
      <c r="I314" s="8" t="inlineStr">
        <is>
          <t>Бумажные крафт-мешки по 25 кг.</t>
        </is>
      </c>
      <c r="J314" s="8" t="inlineStr">
        <is>
          <t>18-20 кг/м2</t>
        </is>
      </c>
      <c r="K314" s="8" t="inlineStr">
        <is>
          <t>В наличии</t>
        </is>
      </c>
      <c r="L314" s="8" t="inlineStr">
        <is>
          <t>https://td-perel.ru/catalog/nalivnye-poly/perel-express-0720/</t>
        </is>
      </c>
    </row>
    <row r="315">
      <c r="A315" s="8" t="inlineStr">
        <is>
          <t>Perel</t>
        </is>
      </c>
      <c r="B315" s="8" t="inlineStr">
        <is>
          <t>product</t>
        </is>
      </c>
      <c r="C315" s="8" t="inlineStr">
        <is>
          <t>Perel FACADE-B, белая, 20 кг, шпатлевка цементная</t>
        </is>
      </c>
      <c r="D315" s="8" t="inlineStr">
        <is>
          <t>Perel FACADE-B</t>
        </is>
      </c>
      <c r="E315" s="8" t="inlineStr">
        <is>
          <t>белая, 20 кг</t>
        </is>
      </c>
      <c r="F315" s="8" t="inlineStr">
        <is>
          <t>putty_cement</t>
        </is>
      </c>
      <c r="G315" s="8" t="inlineStr">
        <is>
          <t>yes</t>
        </is>
      </c>
      <c r="H315" s="8" t="inlineStr">
        <is>
          <t>Атмосферостойкая шпатлевка на основе белого цемента, микромрамора и европейских полимерных добавок для финишной отделки стен и потолков перед высококачественной покраской фасадов и влажных помещений зданий.</t>
        </is>
      </c>
      <c r="I315" s="8" t="inlineStr">
        <is>
          <t>Бумажные крафт-мешки по 25 кг.</t>
        </is>
      </c>
      <c r="J315" s="8" t="inlineStr">
        <is>
          <t>0,9-1,1 кг на м2 поверхности при толщине слоя 1 мм.</t>
        </is>
      </c>
      <c r="K315" s="8" t="inlineStr">
        <is>
          <t>В наличии</t>
        </is>
      </c>
      <c r="L315" s="8" t="inlineStr">
        <is>
          <t>https://td-perel.ru/catalog/tsementnaya_shpaklevka/shpatlevka-tsementnaya-perel-facade-b-belaya-20-kg/</t>
        </is>
      </c>
    </row>
    <row r="316">
      <c r="A316" s="8" t="inlineStr">
        <is>
          <t>Perel</t>
        </is>
      </c>
      <c r="B316" s="8" t="inlineStr">
        <is>
          <t>product</t>
        </is>
      </c>
      <c r="C316" s="8" t="inlineStr">
        <is>
          <t>Perel FACADE-C, серая, 25 кг, шпатлевка цементная</t>
        </is>
      </c>
      <c r="D316" s="8" t="inlineStr">
        <is>
          <t>Perel FACADE-C</t>
        </is>
      </c>
      <c r="E316" s="8" t="inlineStr">
        <is>
          <t>серая, 25 кг</t>
        </is>
      </c>
      <c r="F316" s="8" t="inlineStr">
        <is>
          <t>putty_cement</t>
        </is>
      </c>
      <c r="G316" s="8" t="inlineStr">
        <is>
          <t>yes</t>
        </is>
      </c>
      <c r="H316" s="8" t="inlineStr">
        <is>
          <t>Ремонтная шпатлевочная смесь на основе цемента, мытого белого песка и европейских полимерных добавок, для заделки раковин и трещин стен и потолков перед финишной отделкой фасадов и помещений с любой влажностью.</t>
        </is>
      </c>
      <c r="I316" s="8" t="inlineStr">
        <is>
          <t>Бумажные крафт-мешки по 25 кг.</t>
        </is>
      </c>
      <c r="J316" s="8" t="inlineStr">
        <is>
          <t>1,5-1,7 кг/м2 поверхности при толщине слоя 1 мм.</t>
        </is>
      </c>
      <c r="K316" s="8" t="inlineStr">
        <is>
          <t>В наличии</t>
        </is>
      </c>
      <c r="L316" s="8" t="inlineStr">
        <is>
          <t>https://td-perel.ru/catalog/tsementnaya_shpaklevka/shpatlevka-tsementnaya-facade-c-seraya-25-kg/</t>
        </is>
      </c>
    </row>
    <row r="317">
      <c r="A317" s="8" t="inlineStr">
        <is>
          <t>Perel</t>
        </is>
      </c>
      <c r="B317" s="8" t="inlineStr">
        <is>
          <t>product</t>
        </is>
      </c>
      <c r="C317" s="8" t="inlineStr">
        <is>
          <t>Perel FINISH, супербелая, 20 кг, шпатлевка полимерная финишная</t>
        </is>
      </c>
      <c r="D317" s="8" t="inlineStr">
        <is>
          <t>Perel FINISH</t>
        </is>
      </c>
      <c r="E317" s="8" t="inlineStr">
        <is>
          <t>супербелая, 20 кг</t>
        </is>
      </c>
      <c r="F317" s="8" t="inlineStr">
        <is>
          <t>putty_polymer_dry</t>
        </is>
      </c>
      <c r="G317" s="8" t="inlineStr">
        <is>
          <t>yes</t>
        </is>
      </c>
      <c r="H317" s="8" t="inlineStr">
        <is>
          <t>Супербелая, трещиноустойчивая полимерная шпатлевка для финишной отделки стен и потолков. Для внутренних работ в сухих помещениях.</t>
        </is>
      </c>
      <c r="I317" s="8" t="inlineStr">
        <is>
          <t>Бумажные крафт-мешки по 20 кг.</t>
        </is>
      </c>
      <c r="J317" s="8" t="inlineStr">
        <is>
          <t>1,1-1,2 кг/м² поверхности при толщине слоя 1 мм.</t>
        </is>
      </c>
      <c r="K317" s="8" t="inlineStr">
        <is>
          <t>В наличии</t>
        </is>
      </c>
      <c r="L317" s="8" t="inlineStr">
        <is>
          <t>https://td-perel.ru/catalog/polimernaya_shpaklevka/shpatlevka-polimernaya-finishnaya-perel-finish-superbelaya-20-kg/</t>
        </is>
      </c>
    </row>
    <row r="318">
      <c r="A318" s="8" t="inlineStr">
        <is>
          <t>Perel</t>
        </is>
      </c>
      <c r="B318" s="8" t="inlineStr">
        <is>
          <t>product</t>
        </is>
      </c>
      <c r="C318" s="8" t="inlineStr">
        <is>
          <t>Perel Faster, 24 кг, финишный наливной пол</t>
        </is>
      </c>
      <c r="D318" s="8" t="inlineStr">
        <is>
          <t>Perel Faster</t>
        </is>
      </c>
      <c r="E318" s="8" t="inlineStr">
        <is>
          <t>24 кг</t>
        </is>
      </c>
      <c r="F318" s="8" t="inlineStr">
        <is>
          <t>floor_self_leveling</t>
        </is>
      </c>
      <c r="G318" s="8" t="inlineStr">
        <is>
          <t>yes</t>
        </is>
      </c>
      <c r="H318" s="8" t="inlineStr">
        <is>
          <t>Быстротвердеющий наливной пол на основе комплексного минерального вяжущего с добавлением европейских полимерных добавок применяется для выравнивания бетонных полов в жилых и административных зданиях под последующие покрытия: плитка, паркет, линолеум и тд.</t>
        </is>
      </c>
      <c r="I318" s="8" t="inlineStr">
        <is>
          <t>Бумажные крафт-мешки по 24 кг.</t>
        </is>
      </c>
      <c r="J318" s="8" t="inlineStr">
        <is>
          <t>15-16 кг/м²</t>
        </is>
      </c>
      <c r="K318" s="8" t="inlineStr">
        <is>
          <t>В наличии</t>
        </is>
      </c>
      <c r="L318" s="8" t="inlineStr">
        <is>
          <t>https://td-perel.ru/catalog/nalivnye-poly/perel-faster-0732/</t>
        </is>
      </c>
    </row>
    <row r="319">
      <c r="A319" s="8" t="inlineStr">
        <is>
          <t>Perel</t>
        </is>
      </c>
      <c r="B319" s="8" t="inlineStr">
        <is>
          <t>product</t>
        </is>
      </c>
      <c r="C319" s="8" t="inlineStr">
        <is>
          <t>Perel Fixprim, 10 л</t>
        </is>
      </c>
      <c r="D319" s="8" t="inlineStr">
        <is>
          <t>Perel Fixprim</t>
        </is>
      </c>
      <c r="E319" s="8" t="inlineStr">
        <is>
          <t>канистра 10 л</t>
        </is>
      </c>
      <c r="F319" s="8" t="inlineStr">
        <is>
          <t>primer</t>
        </is>
      </c>
      <c r="G319" s="8" t="inlineStr">
        <is>
          <t>no</t>
        </is>
      </c>
      <c r="H319" s="8" t="inlineStr">
        <is>
          <t>Предназначена для укрепления рыхлых, осыпающихся, слабо мелящих, пористых оснований под дальнейшую окраску водно-дисперсионными красками, оклейкой обоями, шпатлеванием, облицовкой керамической плиткой.</t>
        </is>
      </c>
      <c r="I319" s="8" t="inlineStr">
        <is>
          <t>Пластиковая канистра 10 л.</t>
        </is>
      </c>
      <c r="J319" s="8" t="inlineStr"/>
      <c r="K319" s="8" t="inlineStr">
        <is>
          <t>В наличии</t>
        </is>
      </c>
      <c r="L319" s="8" t="inlineStr">
        <is>
          <t>https://td-perel.ru/catalog/gruntovka/perel-fixprim/</t>
        </is>
      </c>
    </row>
    <row r="320">
      <c r="A320" s="8" t="inlineStr">
        <is>
          <t>Perel</t>
        </is>
      </c>
      <c r="B320" s="8" t="inlineStr">
        <is>
          <t>product</t>
        </is>
      </c>
      <c r="C320" s="8" t="inlineStr">
        <is>
          <t>Perel Gipsel, 30 кг, белый, гипсовый клей</t>
        </is>
      </c>
      <c r="D320" s="8" t="inlineStr">
        <is>
          <t>Perel Gipsel</t>
        </is>
      </c>
      <c r="E320" s="8" t="inlineStr">
        <is>
          <t>белый, 30 кг</t>
        </is>
      </c>
      <c r="F320" s="8" t="inlineStr">
        <is>
          <t>gypsum_mounting_adhesive</t>
        </is>
      </c>
      <c r="G320" s="8" t="inlineStr">
        <is>
          <t>yes</t>
        </is>
      </c>
      <c r="H320" s="8" t="inlineStr">
        <is>
          <t>Сухая монтажная смесь на основе гипсового вяжущего, минеральных и полимерных добавок для монтажа перегородок из гипсовых пазогребневых плит, крепления гипсовых элементов, для бескаркасного монтажа гипсокартонных и гипсоволокнистых листов (ГКЛ, ГВЛ), листов теплоизоляции к вертикальным внутри помещений с нормальной влажностью</t>
        </is>
      </c>
      <c r="I320" s="8" t="inlineStr">
        <is>
          <t>Бумажные крафт-мешки по 30 кг.</t>
        </is>
      </c>
      <c r="J320" s="8" t="inlineStr"/>
      <c r="K320" s="8" t="inlineStr">
        <is>
          <t>В наличии</t>
        </is>
      </c>
      <c r="L320" s="8" t="inlineStr">
        <is>
          <t>https://td-perel.ru/catalog/montazhnyy-kley/gipsovyy-kley-perel-gipsel-30-kg/</t>
        </is>
      </c>
    </row>
    <row r="321">
      <c r="A321" s="8" t="inlineStr">
        <is>
          <t>Perel</t>
        </is>
      </c>
      <c r="B321" s="8" t="inlineStr">
        <is>
          <t>product</t>
        </is>
      </c>
      <c r="C321" s="8" t="inlineStr">
        <is>
          <t>Perel Gipsel, 30 кг, серый, гипсовый клей</t>
        </is>
      </c>
      <c r="D321" s="8" t="inlineStr">
        <is>
          <t>Perel Gipsel</t>
        </is>
      </c>
      <c r="E321" s="8" t="inlineStr">
        <is>
          <t>серый, 30 кг</t>
        </is>
      </c>
      <c r="F321" s="8" t="inlineStr">
        <is>
          <t>gypsum_mounting_adhesive</t>
        </is>
      </c>
      <c r="G321" s="8" t="inlineStr">
        <is>
          <t>yes</t>
        </is>
      </c>
      <c r="H321" s="8" t="inlineStr">
        <is>
          <t>Сухая монтажная смесь на основе гипсового вяжущего, минеральных и полимерных добавок для монтажа перегородок из гипсовых пазогребневых плит, крепления гипсовых элементов, для бескаркасного монтажа гипсокартонных и гипсоволокнистых листов (ГКЛ, ГВЛ), листов теплоизоляции к вертикальным внутри помещений с нормальной влажностью</t>
        </is>
      </c>
      <c r="I321" s="8" t="inlineStr">
        <is>
          <t>Бумажные крафт-мешки по 30 кг.</t>
        </is>
      </c>
      <c r="J321" s="8" t="inlineStr"/>
      <c r="K321" s="8" t="inlineStr">
        <is>
          <t>В наличии</t>
        </is>
      </c>
      <c r="L321" s="8" t="inlineStr">
        <is>
          <t>https://td-perel.ru/catalog/montazhnyy-kley/gipsovyy-kley-perel-gipsel/</t>
        </is>
      </c>
    </row>
    <row r="322">
      <c r="A322" s="8" t="inlineStr">
        <is>
          <t>Perel</t>
        </is>
      </c>
      <c r="B322" s="8" t="inlineStr">
        <is>
          <t>product</t>
        </is>
      </c>
      <c r="C322" s="8" t="inlineStr">
        <is>
          <t>Perel Impregno, 10 л</t>
        </is>
      </c>
      <c r="D322" s="8" t="inlineStr">
        <is>
          <t>Perel Impregno</t>
        </is>
      </c>
      <c r="E322" s="8" t="inlineStr">
        <is>
          <t>канистра 10 л</t>
        </is>
      </c>
      <c r="F322" s="8" t="inlineStr">
        <is>
          <t>hydrophobizer</t>
        </is>
      </c>
      <c r="G322" s="8" t="inlineStr">
        <is>
          <t>no</t>
        </is>
      </c>
      <c r="H322" s="8" t="inlineStr">
        <is>
          <t>Применяется для обработки различных видов строительных объектов, конструкций и поверхностей из кирпича, бетона, штукатурки, пенобетона, шифера, дерева, ЦСП, ДВП, декоративных минеральных отделочных материалов.</t>
        </is>
      </c>
      <c r="I322" s="8" t="inlineStr">
        <is>
          <t>Пластиковая канистра 10 л.</t>
        </is>
      </c>
      <c r="J322" s="8" t="inlineStr">
        <is>
          <t>Расход: 150-350 мл/м²</t>
        </is>
      </c>
      <c r="K322" s="8" t="inlineStr">
        <is>
          <t>В наличии</t>
        </is>
      </c>
      <c r="L322" s="8" t="inlineStr">
        <is>
          <t>https://td-perel.ru/catalog/gidrofobizator/perel-impregno-10-l/</t>
        </is>
      </c>
    </row>
    <row r="323">
      <c r="A323" s="8" t="inlineStr">
        <is>
          <t>Perel</t>
        </is>
      </c>
      <c r="B323" s="8" t="inlineStr">
        <is>
          <t>product</t>
        </is>
      </c>
      <c r="C323" s="8" t="inlineStr">
        <is>
          <t>Perel Impregno, 5 л</t>
        </is>
      </c>
      <c r="D323" s="8" t="inlineStr">
        <is>
          <t>Perel Impregno</t>
        </is>
      </c>
      <c r="E323" s="8" t="inlineStr">
        <is>
          <t>канистра 5 л</t>
        </is>
      </c>
      <c r="F323" s="8" t="inlineStr">
        <is>
          <t>hydrophobizer</t>
        </is>
      </c>
      <c r="G323" s="8" t="inlineStr">
        <is>
          <t>no</t>
        </is>
      </c>
      <c r="H323" s="8" t="inlineStr">
        <is>
          <t>Применяется для обработки различных видов строительных объектов, конструкций и поверхностей из кирпича, бетона, штукатурки, пенобетона, шифера, дерева, ЦСП, ДВП, декоративных минеральных отделочных материалов.</t>
        </is>
      </c>
      <c r="I323" s="8" t="inlineStr">
        <is>
          <t>Пластиковая канистра 5 л.</t>
        </is>
      </c>
      <c r="J323" s="8" t="inlineStr">
        <is>
          <t>Расход: 150-350 мл/м²</t>
        </is>
      </c>
      <c r="K323" s="8" t="inlineStr">
        <is>
          <t>В наличии</t>
        </is>
      </c>
      <c r="L323" s="8" t="inlineStr">
        <is>
          <t>https://td-perel.ru/catalog/gidrofobizator/perel-impregno-5-l9044954/</t>
        </is>
      </c>
    </row>
    <row r="324">
      <c r="A324" s="8" t="inlineStr">
        <is>
          <t>Perel</t>
        </is>
      </c>
      <c r="B324" s="8" t="inlineStr">
        <is>
          <t>product</t>
        </is>
      </c>
      <c r="C324" s="8" t="inlineStr">
        <is>
          <t>Perel Isolante, 14 кг, полиакриловая гидроизоляция</t>
        </is>
      </c>
      <c r="D324" s="8" t="inlineStr">
        <is>
          <t>Perel Isolante</t>
        </is>
      </c>
      <c r="E324" s="8" t="inlineStr">
        <is>
          <t>14 кг</t>
        </is>
      </c>
      <c r="F324" s="8" t="inlineStr">
        <is>
          <t>waterproofing_liquid</t>
        </is>
      </c>
      <c r="G324" s="8" t="inlineStr">
        <is>
          <t>no</t>
        </is>
      </c>
      <c r="H324" s="8" t="inlineStr">
        <is>
          <t>Готовая к использованию мастика, предназначена для создания сплошной гидроизоляции помещений, требующих защиту от протекания (ванные комнаты, душевые, прачечные и т.п.).</t>
        </is>
      </c>
      <c r="I324" s="8" t="inlineStr">
        <is>
          <t>Пластиковое ведро 14 кг</t>
        </is>
      </c>
      <c r="J324" s="8" t="inlineStr">
        <is>
          <t>Расход при однослойном нанесении – 120-400 г/м².</t>
        </is>
      </c>
      <c r="K324" s="8" t="inlineStr">
        <is>
          <t>В наличии</t>
        </is>
      </c>
      <c r="L324" s="8" t="inlineStr">
        <is>
          <t>https://td-perel.ru/catalog/gidroizolyatsiya/perel-isolante/</t>
        </is>
      </c>
    </row>
    <row r="325">
      <c r="A325" s="8" t="inlineStr">
        <is>
          <t>Perel</t>
        </is>
      </c>
      <c r="B325" s="8" t="inlineStr">
        <is>
          <t>product</t>
        </is>
      </c>
      <c r="C325" s="8" t="inlineStr">
        <is>
          <t>Perel Keramogranit C1T, 25 кг, клеевая смесь</t>
        </is>
      </c>
      <c r="D325" s="8" t="inlineStr">
        <is>
          <t>Perel Keramogranit C1T</t>
        </is>
      </c>
      <c r="E325" s="8" t="inlineStr">
        <is>
          <t>25 кг</t>
        </is>
      </c>
      <c r="F325" s="8" t="inlineStr">
        <is>
          <t>tile_adhesive</t>
        </is>
      </c>
      <c r="G325" s="8" t="inlineStr">
        <is>
          <t>yes</t>
        </is>
      </c>
      <c r="H325" s="8" t="inlineStr">
        <is>
          <t>Усиленный плиточный клей на цементной основе с использованием европейских полимерных и армирующих добавок для укладки плит из керамогранита, мрамора, композитного камня по любым недеформируемым поверхностям в сухих и влажных помещениях, жилых, общественных, производственных и иных зданиях.</t>
        </is>
      </c>
      <c r="I325" s="8" t="inlineStr">
        <is>
          <t>Бумажные крафт-мешки по 25 кг.</t>
        </is>
      </c>
      <c r="J325" s="8" t="inlineStr">
        <is>
          <t>3,5-5,0 кг смеси на м2 при использовании зубчатого шпателя 6×6 мм.</t>
        </is>
      </c>
      <c r="K325" s="8" t="inlineStr">
        <is>
          <t>В наличии</t>
        </is>
      </c>
      <c r="L325" s="8" t="inlineStr">
        <is>
          <t>https://td-perel.ru/catalog/klei-dlya-plitki-i-kamnya/kleevaya-smes-perel-keramogranit-c1t-25-kg/</t>
        </is>
      </c>
    </row>
    <row r="326">
      <c r="A326" s="8" t="inlineStr">
        <is>
          <t>Perel</t>
        </is>
      </c>
      <c r="B326" s="8" t="inlineStr">
        <is>
          <t>product</t>
        </is>
      </c>
      <c r="C326" s="8" t="inlineStr">
        <is>
          <t>Perel Lattice, 14 кг, латексная краска</t>
        </is>
      </c>
      <c r="D326" s="8" t="inlineStr">
        <is>
          <t>Perel Lattice</t>
        </is>
      </c>
      <c r="E326" s="8" t="inlineStr">
        <is>
          <t>белая, 14 кг</t>
        </is>
      </c>
      <c r="F326" s="8" t="inlineStr">
        <is>
          <t>paint</t>
        </is>
      </c>
      <c r="G326" s="8" t="inlineStr">
        <is>
          <t>no</t>
        </is>
      </c>
      <c r="H326" s="8" t="inlineStr">
        <is>
          <t>Применяется для выполнения работ на ровных основаниях из бетона, кирпича, блоков и другим оштукатуренным поверхностям. Подходит для выполнения работ в местах с повышенной влажностью (ванные комнаты, промышленные здания).</t>
        </is>
      </c>
      <c r="I326" s="8" t="inlineStr">
        <is>
          <t>14 кг</t>
        </is>
      </c>
      <c r="J326" s="8" t="inlineStr"/>
      <c r="K326" s="8" t="inlineStr">
        <is>
          <t>В наличии</t>
        </is>
      </c>
      <c r="L326" s="8" t="inlineStr">
        <is>
          <t>https://td-perel.ru/catalog/kraski/perel-lattice/</t>
        </is>
      </c>
    </row>
    <row r="327">
      <c r="A327" s="8" t="inlineStr">
        <is>
          <t>Perel</t>
        </is>
      </c>
      <c r="B327" s="8" t="inlineStr">
        <is>
          <t>product</t>
        </is>
      </c>
      <c r="C327" s="8" t="inlineStr">
        <is>
          <t>Perel Modisand</t>
        </is>
      </c>
      <c r="D327" s="8" t="inlineStr">
        <is>
          <t>Perel Modisand</t>
        </is>
      </c>
      <c r="E327" s="8" t="inlineStr">
        <is>
          <t>песочный, 23 кг</t>
        </is>
      </c>
      <c r="F327" s="8" t="inlineStr">
        <is>
          <t>paving_mix</t>
        </is>
      </c>
      <c r="G327" s="8" t="inlineStr">
        <is>
          <t>yes</t>
        </is>
      </c>
      <c r="H327" s="8" t="inlineStr">
        <is>
          <t>Специальная смесь фракционированного песка и полимерных добавок применяется для заполнения швов между элементами мощения: вибролитая, вибропрессованная и гиперпрессованная брусчатка, искусственный и натуральный камень.</t>
        </is>
      </c>
      <c r="I327" s="8" t="inlineStr">
        <is>
          <t>Бумажные крафт-мешки - 23 кг.</t>
        </is>
      </c>
      <c r="J327" s="8" t="inlineStr">
        <is>
          <t>Расход модифицированного песка для брусчатки 200*100*50 при шве 3 мм составляет 3 – 4 кг/м2.</t>
        </is>
      </c>
      <c r="K327" s="8" t="inlineStr">
        <is>
          <t>В наличии</t>
        </is>
      </c>
      <c r="L327" s="8" t="inlineStr">
        <is>
          <t>https://td-perel.ru/catalog/modifitsirovannyy-pesok/perel-modisand/</t>
        </is>
      </c>
    </row>
    <row r="328">
      <c r="A328" s="8" t="inlineStr">
        <is>
          <t>Perel</t>
        </is>
      </c>
      <c r="B328" s="8" t="inlineStr">
        <is>
          <t>product</t>
        </is>
      </c>
      <c r="C328" s="8" t="inlineStr">
        <is>
          <t>Perel NFS PRO 0520, 25кг, бежевая</t>
        </is>
      </c>
      <c r="D328" s="8" t="inlineStr">
        <is>
          <t>Perel NFS PRO</t>
        </is>
      </c>
      <c r="E328" s="8" t="inlineStr">
        <is>
          <t>бежевая, 25 кг</t>
        </is>
      </c>
      <c r="F328" s="8" t="inlineStr">
        <is>
          <t>tile_grout</t>
        </is>
      </c>
      <c r="G328" s="8" t="inlineStr">
        <is>
          <t>yes</t>
        </is>
      </c>
      <c r="H328" s="8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I328" s="8" t="inlineStr">
        <is>
          <t>Бумажные крафт-мешки по 25 кг.</t>
        </is>
      </c>
      <c r="J328" s="8" t="inlineStr">
        <is>
          <t>2 – 6 кг/м² в зависимости от ширины швов и формата облицовочного материала.</t>
        </is>
      </c>
      <c r="K328" s="8" t="inlineStr">
        <is>
          <t>В наличии</t>
        </is>
      </c>
      <c r="L328" s="8" t="inlineStr">
        <is>
          <t>https://td-perel.ru/catalog/perel-nfs-pro/perel-nfs-pro-0520/</t>
        </is>
      </c>
    </row>
    <row r="329">
      <c r="A329" s="8" t="inlineStr">
        <is>
          <t>Perel</t>
        </is>
      </c>
      <c r="B329" s="8" t="inlineStr">
        <is>
          <t>product</t>
        </is>
      </c>
      <c r="C329" s="8" t="inlineStr">
        <is>
          <t>Perel NFS PRO 0505, 25 кг, белая</t>
        </is>
      </c>
      <c r="D329" s="8" t="inlineStr">
        <is>
          <t>Perel NFS PRO</t>
        </is>
      </c>
      <c r="E329" s="8" t="inlineStr">
        <is>
          <t>белая, 25 кг</t>
        </is>
      </c>
      <c r="F329" s="8" t="inlineStr">
        <is>
          <t>tile_grout</t>
        </is>
      </c>
      <c r="G329" s="8" t="inlineStr">
        <is>
          <t>yes</t>
        </is>
      </c>
      <c r="H329" s="8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I329" s="8" t="inlineStr">
        <is>
          <t>Бумажные крафт-мешки по 25 кг.</t>
        </is>
      </c>
      <c r="J329" s="8" t="inlineStr">
        <is>
          <t>2 – 6 кг/м² в зависимости от ширины швов и формата облицовочного материала.</t>
        </is>
      </c>
      <c r="K329" s="8" t="inlineStr">
        <is>
          <t>В наличии</t>
        </is>
      </c>
      <c r="L329" s="8" t="inlineStr">
        <is>
          <t>https://td-perel.ru/catalog/perel-nfs-pro/perel-nfs-pro-0505/</t>
        </is>
      </c>
    </row>
    <row r="330">
      <c r="A330" s="8" t="inlineStr">
        <is>
          <t>Perel</t>
        </is>
      </c>
      <c r="B330" s="8" t="inlineStr">
        <is>
          <t>product</t>
        </is>
      </c>
      <c r="C330" s="8" t="inlineStr">
        <is>
          <t>Perel NFS PRO 0507, 25кг, жемчужная</t>
        </is>
      </c>
      <c r="D330" s="8" t="inlineStr">
        <is>
          <t>Perel NFS PRO</t>
        </is>
      </c>
      <c r="E330" s="8" t="inlineStr">
        <is>
          <t>жемчужная, 25 кг</t>
        </is>
      </c>
      <c r="F330" s="8" t="inlineStr">
        <is>
          <t>tile_grout</t>
        </is>
      </c>
      <c r="G330" s="8" t="inlineStr">
        <is>
          <t>yes</t>
        </is>
      </c>
      <c r="H330" s="8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I330" s="8" t="inlineStr">
        <is>
          <t>Бумажные крафт-мешки по 25 кг.</t>
        </is>
      </c>
      <c r="J330" s="8" t="inlineStr">
        <is>
          <t>2 – 6 кг/м² в зависимости от ширины швов и формата облицовочного материала.</t>
        </is>
      </c>
      <c r="K330" s="8" t="inlineStr">
        <is>
          <t>В наличии</t>
        </is>
      </c>
      <c r="L330" s="8" t="inlineStr">
        <is>
          <t>https://td-perel.ru/catalog/perel-nfs-pro/perel-nfs-pro-0507/</t>
        </is>
      </c>
    </row>
    <row r="331">
      <c r="A331" s="8" t="inlineStr">
        <is>
          <t>Perel</t>
        </is>
      </c>
      <c r="B331" s="8" t="inlineStr">
        <is>
          <t>product</t>
        </is>
      </c>
      <c r="C331" s="8" t="inlineStr">
        <is>
          <t>Perel NFS PRO 0550, 25кг, коричневая</t>
        </is>
      </c>
      <c r="D331" s="8" t="inlineStr">
        <is>
          <t>Perel NFS PRO</t>
        </is>
      </c>
      <c r="E331" s="8" t="inlineStr">
        <is>
          <t>коричневая, 25 кг</t>
        </is>
      </c>
      <c r="F331" s="8" t="inlineStr">
        <is>
          <t>tile_grout</t>
        </is>
      </c>
      <c r="G331" s="8" t="inlineStr">
        <is>
          <t>yes</t>
        </is>
      </c>
      <c r="H331" s="8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I331" s="8" t="inlineStr">
        <is>
          <t>Бумажные крафт-мешки по 25 кг.</t>
        </is>
      </c>
      <c r="J331" s="8" t="inlineStr">
        <is>
          <t>2 – 6 кг/м² в зависимости от ширины швов и формата облицовочного материала.</t>
        </is>
      </c>
      <c r="K331" s="8" t="inlineStr">
        <is>
          <t>В наличии</t>
        </is>
      </c>
      <c r="L331" s="8" t="inlineStr">
        <is>
          <t>https://td-perel.ru/catalog/perel-nfs-pro/perel-nfs-pro-0550/</t>
        </is>
      </c>
    </row>
    <row r="332">
      <c r="A332" s="8" t="inlineStr">
        <is>
          <t>Perel</t>
        </is>
      </c>
      <c r="B332" s="8" t="inlineStr">
        <is>
          <t>product</t>
        </is>
      </c>
      <c r="C332" s="8" t="inlineStr">
        <is>
          <t>Perel NFS PRO 0540, 25кг, кремовая</t>
        </is>
      </c>
      <c r="D332" s="8" t="inlineStr">
        <is>
          <t>Perel NFS PRO</t>
        </is>
      </c>
      <c r="E332" s="8" t="inlineStr">
        <is>
          <t>кремовая, 25 кг</t>
        </is>
      </c>
      <c r="F332" s="8" t="inlineStr">
        <is>
          <t>tile_grout</t>
        </is>
      </c>
      <c r="G332" s="8" t="inlineStr">
        <is>
          <t>yes</t>
        </is>
      </c>
      <c r="H332" s="8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I332" s="8" t="inlineStr">
        <is>
          <t>Бумажные крафт-мешки по 25 кг.</t>
        </is>
      </c>
      <c r="J332" s="8" t="inlineStr">
        <is>
          <t>2 – 6 кг/м² в зависимости от ширины швов и формата облицовочного материала.</t>
        </is>
      </c>
      <c r="K332" s="8" t="inlineStr">
        <is>
          <t>В наличии</t>
        </is>
      </c>
      <c r="L332" s="8" t="inlineStr">
        <is>
          <t>https://td-perel.ru/catalog/perel-nfs-pro/perel-nfs-pro-0540/</t>
        </is>
      </c>
    </row>
    <row r="333">
      <c r="A333" s="8" t="inlineStr">
        <is>
          <t>Perel</t>
        </is>
      </c>
      <c r="B333" s="8" t="inlineStr">
        <is>
          <t>product</t>
        </is>
      </c>
      <c r="C333" s="8" t="inlineStr">
        <is>
          <t>Perel NFS PRO 0545, 25кг, светло-коричневая</t>
        </is>
      </c>
      <c r="D333" s="8" t="inlineStr">
        <is>
          <t>Perel NFS PRO</t>
        </is>
      </c>
      <c r="E333" s="8" t="inlineStr">
        <is>
          <t>светло-коричневая, 25 кг</t>
        </is>
      </c>
      <c r="F333" s="8" t="inlineStr">
        <is>
          <t>tile_grout</t>
        </is>
      </c>
      <c r="G333" s="8" t="inlineStr">
        <is>
          <t>yes</t>
        </is>
      </c>
      <c r="H333" s="8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I333" s="8" t="inlineStr">
        <is>
          <t>Бумажные крафт-мешки по 25 кг.</t>
        </is>
      </c>
      <c r="J333" s="8" t="inlineStr">
        <is>
          <t>2 – 6 кг/м² в зависимости от ширины швов и формата облицовочного материала.</t>
        </is>
      </c>
      <c r="K333" s="8" t="inlineStr">
        <is>
          <t>В наличии</t>
        </is>
      </c>
      <c r="L333" s="8" t="inlineStr">
        <is>
          <t>https://td-perel.ru/catalog/perel-nfs-pro/perel-nfs-pro-0545/</t>
        </is>
      </c>
    </row>
    <row r="334">
      <c r="A334" s="8" t="inlineStr">
        <is>
          <t>Perel</t>
        </is>
      </c>
      <c r="B334" s="8" t="inlineStr">
        <is>
          <t>product</t>
        </is>
      </c>
      <c r="C334" s="8" t="inlineStr">
        <is>
          <t>Perel NFS PRO 0510, 25 кг, серая</t>
        </is>
      </c>
      <c r="D334" s="8" t="inlineStr">
        <is>
          <t>Perel NFS PRO</t>
        </is>
      </c>
      <c r="E334" s="8" t="inlineStr">
        <is>
          <t>серая, 25 кг</t>
        </is>
      </c>
      <c r="F334" s="8" t="inlineStr">
        <is>
          <t>tile_grout</t>
        </is>
      </c>
      <c r="G334" s="8" t="inlineStr">
        <is>
          <t>yes</t>
        </is>
      </c>
      <c r="H334" s="8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I334" s="8" t="inlineStr">
        <is>
          <t>Бумажные крафт-мешки по 25 кг.</t>
        </is>
      </c>
      <c r="J334" s="8" t="inlineStr">
        <is>
          <t>2 – 6 кг/м² в зависимости от ширины швов и формата облицовочного материала.</t>
        </is>
      </c>
      <c r="K334" s="8" t="inlineStr">
        <is>
          <t>В наличии</t>
        </is>
      </c>
      <c r="L334" s="8" t="inlineStr">
        <is>
          <t>https://td-perel.ru/catalog/perel-nfs-pro/perel-nfs-pro-0510/</t>
        </is>
      </c>
    </row>
    <row r="335">
      <c r="A335" s="8" t="inlineStr">
        <is>
          <t>Perel</t>
        </is>
      </c>
      <c r="B335" s="8" t="inlineStr">
        <is>
          <t>product</t>
        </is>
      </c>
      <c r="C335" s="8" t="inlineStr">
        <is>
          <t>Perel NFS PRO 0516, 25 кг, темно-серая</t>
        </is>
      </c>
      <c r="D335" s="8" t="inlineStr">
        <is>
          <t>Perel NFS PRO</t>
        </is>
      </c>
      <c r="E335" s="8" t="inlineStr">
        <is>
          <t>темно-серая, 25 кг</t>
        </is>
      </c>
      <c r="F335" s="8" t="inlineStr">
        <is>
          <t>tile_grout</t>
        </is>
      </c>
      <c r="G335" s="8" t="inlineStr">
        <is>
          <t>yes</t>
        </is>
      </c>
      <c r="H335" s="8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I335" s="8" t="inlineStr">
        <is>
          <t>Бумажные крафт-мешки по 25 кг.</t>
        </is>
      </c>
      <c r="J335" s="8" t="inlineStr">
        <is>
          <t>2 – 6 кг/м² в зависимости от ширины швов и формата облицовочного материала.</t>
        </is>
      </c>
      <c r="K335" s="8" t="inlineStr">
        <is>
          <t>В наличии</t>
        </is>
      </c>
      <c r="L335" s="8" t="inlineStr">
        <is>
          <t>https://td-perel.ru/catalog/perel-nfs-pro/perel-nfs-pro-0516/</t>
        </is>
      </c>
    </row>
    <row r="336">
      <c r="A336" s="8" t="inlineStr">
        <is>
          <t>Perel</t>
        </is>
      </c>
      <c r="B336" s="8" t="inlineStr">
        <is>
          <t>product</t>
        </is>
      </c>
      <c r="C336" s="8" t="inlineStr">
        <is>
          <t>Perel NFS PRO 0565, 25 кг, черная</t>
        </is>
      </c>
      <c r="D336" s="8" t="inlineStr">
        <is>
          <t>Perel NFS PRO</t>
        </is>
      </c>
      <c r="E336" s="8" t="inlineStr">
        <is>
          <t>черная, 25 кг</t>
        </is>
      </c>
      <c r="F336" s="8" t="inlineStr">
        <is>
          <t>tile_grout</t>
        </is>
      </c>
      <c r="G336" s="8" t="inlineStr">
        <is>
          <t>yes</t>
        </is>
      </c>
      <c r="H336" s="8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I336" s="8" t="inlineStr">
        <is>
          <t>Бумажные крафт-мешки по 25 кг.</t>
        </is>
      </c>
      <c r="J336" s="8" t="inlineStr">
        <is>
          <t>2 – 6 кг/м² в зависимости от ширины швов и формата облицовочного материала.</t>
        </is>
      </c>
      <c r="K336" s="8" t="inlineStr">
        <is>
          <t>В наличии</t>
        </is>
      </c>
      <c r="L336" s="8" t="inlineStr">
        <is>
          <t>https://td-perel.ru/catalog/perel-nfs-pro/perel-nfs-pro-0565/</t>
        </is>
      </c>
    </row>
    <row r="337">
      <c r="A337" s="8" t="inlineStr">
        <is>
          <t>Perel</t>
        </is>
      </c>
      <c r="B337" s="8" t="inlineStr">
        <is>
          <t>product</t>
        </is>
      </c>
      <c r="C337" s="8" t="inlineStr">
        <is>
          <t>Perel NFS PRO 0555, 25кг, шоколадная</t>
        </is>
      </c>
      <c r="D337" s="8" t="inlineStr">
        <is>
          <t>Perel NFS PRO</t>
        </is>
      </c>
      <c r="E337" s="8" t="inlineStr">
        <is>
          <t>шоколадная, 25 кг</t>
        </is>
      </c>
      <c r="F337" s="8" t="inlineStr">
        <is>
          <t>tile_grout</t>
        </is>
      </c>
      <c r="G337" s="8" t="inlineStr">
        <is>
          <t>yes</t>
        </is>
      </c>
      <c r="H337" s="8" t="inlineStr">
        <is>
          <t>Применяется в качестве заполнителя швов в НФС (навесная фасадная система) и СФТК (система фасадная теплоизоляционная композиционная) , где в качестве облицовочного материала используются клинкерная, керамическая или бетонная плитка, натуральный или искусственный камень.</t>
        </is>
      </c>
      <c r="I337" s="8" t="inlineStr">
        <is>
          <t>Бумажные крафт-мешки по 25 кг.</t>
        </is>
      </c>
      <c r="J337" s="8" t="inlineStr">
        <is>
          <t>2 – 6 кг/м² в зависимости от ширины швов и формата облицовочного материала.</t>
        </is>
      </c>
      <c r="K337" s="8" t="inlineStr">
        <is>
          <t>В наличии</t>
        </is>
      </c>
      <c r="L337" s="8" t="inlineStr">
        <is>
          <t>https://td-perel.ru/catalog/perel-nfs-pro/perel-nfs-pro-0555/</t>
        </is>
      </c>
    </row>
    <row r="338">
      <c r="A338" s="8" t="inlineStr">
        <is>
          <t>Perel</t>
        </is>
      </c>
      <c r="B338" s="8" t="inlineStr">
        <is>
          <t>product</t>
        </is>
      </c>
      <c r="C338" s="8" t="inlineStr">
        <is>
          <t>Бежевая кладочная смесь Perel NL 25 кг</t>
        </is>
      </c>
      <c r="D338" s="8" t="inlineStr">
        <is>
          <t>Perel NL</t>
        </is>
      </c>
      <c r="E338" s="8" t="inlineStr">
        <is>
          <t>бежевый, 25 кг</t>
        </is>
      </c>
      <c r="F338" s="8" t="inlineStr">
        <is>
          <t>masonry_colored</t>
        </is>
      </c>
      <c r="G338" s="8" t="inlineStr">
        <is>
          <t>yes</t>
        </is>
      </c>
      <c r="H338" s="8" t="inlineStr">
        <is>
          <t>Цветная смесь Perel NL 0120 для кладки облицовочного кирпича с низким водопоглощением от 0 до 5% (клинкерный кирпич и т.п.).</t>
        </is>
      </c>
      <c r="I338" s="8" t="inlineStr">
        <is>
          <t>Бумажные крафт-мешки по 25 кг.</t>
        </is>
      </c>
      <c r="J338" s="8" t="inlineStr"/>
      <c r="K338" s="8" t="inlineStr">
        <is>
          <t>В наличии</t>
        </is>
      </c>
      <c r="L338" s="8" t="inlineStr">
        <is>
          <t>https://td-perel.ru/catalog/perel-nl/bezhevaya-kladochnaya-smes-perel-nl-25-kg/</t>
        </is>
      </c>
    </row>
    <row r="339">
      <c r="A339" s="8" t="inlineStr">
        <is>
          <t>Perel</t>
        </is>
      </c>
      <c r="B339" s="8" t="inlineStr">
        <is>
          <t>product</t>
        </is>
      </c>
      <c r="C339" s="8" t="inlineStr">
        <is>
          <t>Бежевая кладочная смесь Perel NL 50 кг</t>
        </is>
      </c>
      <c r="D339" s="8" t="inlineStr">
        <is>
          <t>Perel NL</t>
        </is>
      </c>
      <c r="E339" s="8" t="inlineStr">
        <is>
          <t>бежевый, 50 кг</t>
        </is>
      </c>
      <c r="F339" s="8" t="inlineStr">
        <is>
          <t>masonry_colored</t>
        </is>
      </c>
      <c r="G339" s="8" t="inlineStr">
        <is>
          <t>yes</t>
        </is>
      </c>
      <c r="H339" s="8" t="inlineStr">
        <is>
          <t>Цветная смесь Perel NL 0120 для кладки облицовочного кирпича с низким водопоглощением от 0 до 5% (клинкерный кирпич и т.п.).</t>
        </is>
      </c>
      <c r="I339" s="8" t="inlineStr">
        <is>
          <t>фасовка 50 кг</t>
        </is>
      </c>
      <c r="J339" s="8" t="inlineStr"/>
      <c r="K339" s="8" t="inlineStr">
        <is>
          <t>В наличии</t>
        </is>
      </c>
      <c r="L339" s="8" t="inlineStr">
        <is>
          <t>https://td-perel.ru/catalog/perel-nl/bezhevaya-kladochnaya-smes-perel-nl-50-kg/</t>
        </is>
      </c>
    </row>
    <row r="340">
      <c r="A340" s="8" t="inlineStr">
        <is>
          <t>Perel</t>
        </is>
      </c>
      <c r="B340" s="8" t="inlineStr">
        <is>
          <t>product</t>
        </is>
      </c>
      <c r="C340" s="8" t="inlineStr">
        <is>
          <t>Белая кладочная смесь Perel NL 0105, 25 кг</t>
        </is>
      </c>
      <c r="D340" s="8" t="inlineStr">
        <is>
          <t>Perel NL</t>
        </is>
      </c>
      <c r="E340" s="8" t="inlineStr">
        <is>
          <t>белый, 25 кг</t>
        </is>
      </c>
      <c r="F340" s="8" t="inlineStr">
        <is>
          <t>masonry_colored</t>
        </is>
      </c>
      <c r="G340" s="8" t="inlineStr">
        <is>
          <t>yes</t>
        </is>
      </c>
      <c r="H340" s="8" t="inlineStr">
        <is>
          <t>Цветная смесь Perel NL 0105 для кладки облицовочного кирпича с низким водопоглощением от 0 до 5% (клинкерный кирпич и т.п.).</t>
        </is>
      </c>
      <c r="I340" s="8" t="inlineStr">
        <is>
          <t>Бумажные крафт-мешки по 25 кг.</t>
        </is>
      </c>
      <c r="J340" s="8" t="inlineStr"/>
      <c r="K340" s="8" t="inlineStr">
        <is>
          <t>В наличии</t>
        </is>
      </c>
      <c r="L340" s="8" t="inlineStr">
        <is>
          <t>https://td-perel.ru/catalog/perel-nl/belaya-kladochnaya-smes-perel-nl-25-kg/</t>
        </is>
      </c>
    </row>
    <row r="341">
      <c r="A341" s="8" t="inlineStr">
        <is>
          <t>Perel</t>
        </is>
      </c>
      <c r="B341" s="8" t="inlineStr">
        <is>
          <t>product</t>
        </is>
      </c>
      <c r="C341" s="8" t="inlineStr">
        <is>
          <t>Белая кладочная смесь Perel NL 0105, 50 кг</t>
        </is>
      </c>
      <c r="D341" s="8" t="inlineStr">
        <is>
          <t>Perel NL</t>
        </is>
      </c>
      <c r="E341" s="8" t="inlineStr">
        <is>
          <t>белый, 50 кг</t>
        </is>
      </c>
      <c r="F341" s="8" t="inlineStr">
        <is>
          <t>masonry_colored</t>
        </is>
      </c>
      <c r="G341" s="8" t="inlineStr">
        <is>
          <t>yes</t>
        </is>
      </c>
      <c r="H341" s="8" t="inlineStr">
        <is>
          <t>Цветная смесь Perel NL 0105 для кладки облицовочного кирпича с низким водопоглощением от 0 до 5% (клинкерный кирпич и т.п.).</t>
        </is>
      </c>
      <c r="I341" s="8" t="inlineStr">
        <is>
          <t>фасовка 50 кг</t>
        </is>
      </c>
      <c r="J341" s="8" t="inlineStr"/>
      <c r="K341" s="8" t="inlineStr">
        <is>
          <t>В наличии</t>
        </is>
      </c>
      <c r="L341" s="8" t="inlineStr">
        <is>
          <t>https://td-perel.ru/catalog/perel-nl/belaya-kladochnaya-smes-perel-nl-50-kg/</t>
        </is>
      </c>
    </row>
    <row r="342">
      <c r="A342" s="8" t="inlineStr">
        <is>
          <t>Perel</t>
        </is>
      </c>
      <c r="B342" s="8" t="inlineStr">
        <is>
          <t>product</t>
        </is>
      </c>
      <c r="C342" s="8" t="inlineStr">
        <is>
          <t>Желтая кладочная смесь Perel NL 25 кг</t>
        </is>
      </c>
      <c r="D342" s="8" t="inlineStr">
        <is>
          <t>Perel NL</t>
        </is>
      </c>
      <c r="E342" s="8" t="inlineStr">
        <is>
          <t>желтый, 25 кг</t>
        </is>
      </c>
      <c r="F342" s="8" t="inlineStr">
        <is>
          <t>masonry_colored</t>
        </is>
      </c>
      <c r="G342" s="8" t="inlineStr">
        <is>
          <t>yes</t>
        </is>
      </c>
      <c r="H342" s="8" t="inlineStr">
        <is>
          <t>Цветная смесь Perel NL 0135 для кладки облицовочного кирпича с низким водопоглощением от 0 до 5% (клинкерный кирпич и т.п.).</t>
        </is>
      </c>
      <c r="I342" s="8" t="inlineStr">
        <is>
          <t>Бумажные крафт-мешки по 25 кг.</t>
        </is>
      </c>
      <c r="J342" s="8" t="inlineStr"/>
      <c r="K342" s="8" t="inlineStr">
        <is>
          <t>В наличии</t>
        </is>
      </c>
      <c r="L342" s="8" t="inlineStr">
        <is>
          <t>https://td-perel.ru/catalog/perel-nl/zheltaya-kladochnaya-smes-perel-nl-25-kg/</t>
        </is>
      </c>
    </row>
    <row r="343">
      <c r="A343" s="8" t="inlineStr">
        <is>
          <t>Perel</t>
        </is>
      </c>
      <c r="B343" s="8" t="inlineStr">
        <is>
          <t>product</t>
        </is>
      </c>
      <c r="C343" s="8" t="inlineStr">
        <is>
          <t>Желтая кладочная смесь Perel NL 50 кг</t>
        </is>
      </c>
      <c r="D343" s="8" t="inlineStr">
        <is>
          <t>Perel NL</t>
        </is>
      </c>
      <c r="E343" s="8" t="inlineStr">
        <is>
          <t>желтый, 50 кг</t>
        </is>
      </c>
      <c r="F343" s="8" t="inlineStr">
        <is>
          <t>masonry_colored</t>
        </is>
      </c>
      <c r="G343" s="8" t="inlineStr">
        <is>
          <t>yes</t>
        </is>
      </c>
      <c r="H343" s="8" t="inlineStr">
        <is>
          <t>Цветная смесь Perel NL 0135 для кладки облицовочного кирпича с низким водопоглощением от 0 до 5% (клинкерный кирпич и т.п.).</t>
        </is>
      </c>
      <c r="I343" s="8" t="inlineStr">
        <is>
          <t>фасовка 50 кг</t>
        </is>
      </c>
      <c r="J343" s="8" t="inlineStr"/>
      <c r="K343" s="8" t="inlineStr">
        <is>
          <t>В наличии</t>
        </is>
      </c>
      <c r="L343" s="8" t="inlineStr">
        <is>
          <t>https://td-perel.ru/catalog/perel-nl/zheltaya-kladochnaya-smes-perel-nl-50-kg/</t>
        </is>
      </c>
    </row>
    <row r="344">
      <c r="A344" s="8" t="inlineStr">
        <is>
          <t>Perel</t>
        </is>
      </c>
      <c r="B344" s="8" t="inlineStr">
        <is>
          <t>product</t>
        </is>
      </c>
      <c r="C344" s="8" t="inlineStr">
        <is>
          <t>Коричневая кладочная смесь Perel NL 25 кг</t>
        </is>
      </c>
      <c r="D344" s="8" t="inlineStr">
        <is>
          <t>Perel NL</t>
        </is>
      </c>
      <c r="E344" s="8" t="inlineStr">
        <is>
          <t>коричневый, 25 кг</t>
        </is>
      </c>
      <c r="F344" s="8" t="inlineStr">
        <is>
          <t>masonry_colored</t>
        </is>
      </c>
      <c r="G344" s="8" t="inlineStr">
        <is>
          <t>yes</t>
        </is>
      </c>
      <c r="H344" s="8" t="inlineStr">
        <is>
          <t>Цветная смесь Perel NL 0150 для кладки облицовочного кирпича с низким водопоглощением от 0 до 5% (клинкерный кирпич и т.п.).</t>
        </is>
      </c>
      <c r="I344" s="8" t="inlineStr">
        <is>
          <t>Бумажные крафт-мешки по 25 кг.</t>
        </is>
      </c>
      <c r="J344" s="8" t="inlineStr"/>
      <c r="K344" s="8" t="inlineStr">
        <is>
          <t>В наличии</t>
        </is>
      </c>
      <c r="L344" s="8" t="inlineStr">
        <is>
          <t>https://td-perel.ru/catalog/perel-nl/korichnevaya-kladochnaya-smes-perel-nl-25-kg/</t>
        </is>
      </c>
    </row>
    <row r="345">
      <c r="A345" s="8" t="inlineStr">
        <is>
          <t>Perel</t>
        </is>
      </c>
      <c r="B345" s="8" t="inlineStr">
        <is>
          <t>product</t>
        </is>
      </c>
      <c r="C345" s="8" t="inlineStr">
        <is>
          <t>Коричневая кладочная смесь Perel NL 50 кг</t>
        </is>
      </c>
      <c r="D345" s="8" t="inlineStr">
        <is>
          <t>Perel NL</t>
        </is>
      </c>
      <c r="E345" s="8" t="inlineStr">
        <is>
          <t>коричневый, 50 кг</t>
        </is>
      </c>
      <c r="F345" s="8" t="inlineStr">
        <is>
          <t>masonry_colored</t>
        </is>
      </c>
      <c r="G345" s="8" t="inlineStr">
        <is>
          <t>yes</t>
        </is>
      </c>
      <c r="H345" s="8" t="inlineStr">
        <is>
          <t>Цветная смесь Perel NL 0150 для кладки облицовочного кирпича с низким водопоглощением от 0 до 5% (клинкерный кирпич и т.п.).</t>
        </is>
      </c>
      <c r="I345" s="8" t="inlineStr">
        <is>
          <t>фасовка 50 кг</t>
        </is>
      </c>
      <c r="J345" s="8" t="inlineStr"/>
      <c r="K345" s="8" t="inlineStr">
        <is>
          <t>В наличии</t>
        </is>
      </c>
      <c r="L345" s="8" t="inlineStr">
        <is>
          <t>https://td-perel.ru/catalog/perel-nl/korichnevaya-kladochnaya-smes-perel-nl-50-kg/</t>
        </is>
      </c>
    </row>
    <row r="346">
      <c r="A346" s="8" t="inlineStr">
        <is>
          <t>Perel</t>
        </is>
      </c>
      <c r="B346" s="8" t="inlineStr">
        <is>
          <t>product</t>
        </is>
      </c>
      <c r="C346" s="8" t="inlineStr">
        <is>
          <t>Красная кладочная смесь Perel NL 25 кг</t>
        </is>
      </c>
      <c r="D346" s="8" t="inlineStr">
        <is>
          <t>Perel NL</t>
        </is>
      </c>
      <c r="E346" s="8" t="inlineStr">
        <is>
          <t>красный, 25 кг</t>
        </is>
      </c>
      <c r="F346" s="8" t="inlineStr">
        <is>
          <t>masonry_colored</t>
        </is>
      </c>
      <c r="G346" s="8" t="inlineStr">
        <is>
          <t>yes</t>
        </is>
      </c>
      <c r="H346" s="8" t="inlineStr">
        <is>
          <t>Цветная смесь Perel NL 0160 для кладки облицовочного кирпича с низким водопоглощением от 0 до 5% (клинкерный кирпич и т.п.).</t>
        </is>
      </c>
      <c r="I346" s="8" t="inlineStr">
        <is>
          <t>фасовка 25 кг</t>
        </is>
      </c>
      <c r="J346" s="8" t="inlineStr"/>
      <c r="K346" s="8" t="inlineStr">
        <is>
          <t>В наличии</t>
        </is>
      </c>
      <c r="L346" s="8" t="inlineStr">
        <is>
          <t>https://td-perel.ru/catalog/perel-nl/krasnaya-kladochnaya-smes-perel-nl-25-kg/</t>
        </is>
      </c>
    </row>
    <row r="347">
      <c r="A347" s="8" t="inlineStr">
        <is>
          <t>Perel</t>
        </is>
      </c>
      <c r="B347" s="8" t="inlineStr">
        <is>
          <t>product</t>
        </is>
      </c>
      <c r="C347" s="8" t="inlineStr">
        <is>
          <t>Красная кладочная смесь Perel NL 50 кг</t>
        </is>
      </c>
      <c r="D347" s="8" t="inlineStr">
        <is>
          <t>Perel NL</t>
        </is>
      </c>
      <c r="E347" s="8" t="inlineStr">
        <is>
          <t>красный, 50 кг</t>
        </is>
      </c>
      <c r="F347" s="8" t="inlineStr">
        <is>
          <t>masonry_colored</t>
        </is>
      </c>
      <c r="G347" s="8" t="inlineStr">
        <is>
          <t>yes</t>
        </is>
      </c>
      <c r="H347" s="8" t="inlineStr">
        <is>
          <t>Цветная смесь Perel NL 0160 для кладки облицовочного кирпича с низким водопоглощением от 0 до 5% (клинкерный кирпич и т.п.).</t>
        </is>
      </c>
      <c r="I347" s="8" t="inlineStr">
        <is>
          <t>50 кг</t>
        </is>
      </c>
      <c r="J347" s="8" t="inlineStr"/>
      <c r="K347" s="8" t="inlineStr">
        <is>
          <t>В наличии</t>
        </is>
      </c>
      <c r="L347" s="8" t="inlineStr">
        <is>
          <t>https://td-perel.ru/catalog/perel-nl/krasnaya-kladochnaya-smes-perel-nl-50-kg/</t>
        </is>
      </c>
    </row>
    <row r="348">
      <c r="A348" s="8" t="inlineStr">
        <is>
          <t>Perel</t>
        </is>
      </c>
      <c r="B348" s="8" t="inlineStr">
        <is>
          <t>product</t>
        </is>
      </c>
      <c r="C348" s="8" t="inlineStr">
        <is>
          <t>Кремово-бежевая кладочная смесь Perel NL 25 кг</t>
        </is>
      </c>
      <c r="D348" s="8" t="inlineStr">
        <is>
          <t>Perel NL</t>
        </is>
      </c>
      <c r="E348" s="8" t="inlineStr">
        <is>
          <t>кремово-бежевый, 25 кг</t>
        </is>
      </c>
      <c r="F348" s="8" t="inlineStr">
        <is>
          <t>masonry_colored</t>
        </is>
      </c>
      <c r="G348" s="8" t="inlineStr">
        <is>
          <t>yes</t>
        </is>
      </c>
      <c r="H348" s="8" t="inlineStr">
        <is>
          <t>Цветная смесь Perel NL 0125 для кладки облицовочного кирпича с низким водопоглощением от 0 до 5% (клинкерный кирпич и т.п.).</t>
        </is>
      </c>
      <c r="I348" s="8" t="inlineStr">
        <is>
          <t>фасовка 25 кг</t>
        </is>
      </c>
      <c r="J348" s="8" t="inlineStr"/>
      <c r="K348" s="8" t="inlineStr">
        <is>
          <t>В наличии</t>
        </is>
      </c>
      <c r="L348" s="8" t="inlineStr">
        <is>
          <t>https://td-perel.ru/catalog/perel-nl/kremovo-bezhevaya-kladochnaya-smes-perel-nl-25-kg/</t>
        </is>
      </c>
    </row>
    <row r="349">
      <c r="A349" s="8" t="inlineStr">
        <is>
          <t>Perel</t>
        </is>
      </c>
      <c r="B349" s="8" t="inlineStr">
        <is>
          <t>product</t>
        </is>
      </c>
      <c r="C349" s="8" t="inlineStr">
        <is>
          <t>Кремово-бежевая кладочная смесь Perel NL 50 кг</t>
        </is>
      </c>
      <c r="D349" s="8" t="inlineStr">
        <is>
          <t>Perel NL</t>
        </is>
      </c>
      <c r="E349" s="8" t="inlineStr">
        <is>
          <t>кремово-бежевый, 50 кг</t>
        </is>
      </c>
      <c r="F349" s="8" t="inlineStr">
        <is>
          <t>masonry_colored</t>
        </is>
      </c>
      <c r="G349" s="8" t="inlineStr">
        <is>
          <t>yes</t>
        </is>
      </c>
      <c r="H349" s="8" t="inlineStr">
        <is>
          <t>Цветная смесь Perel NL 0125 для кладки облицовочного кирпича с низким водопоглощением от 0 до 5% (клинкерный кирпич и т.п.).</t>
        </is>
      </c>
      <c r="I349" s="8" t="inlineStr">
        <is>
          <t>фасовка 50 кг</t>
        </is>
      </c>
      <c r="J349" s="8" t="inlineStr"/>
      <c r="K349" s="8" t="inlineStr">
        <is>
          <t>В наличии</t>
        </is>
      </c>
      <c r="L349" s="8" t="inlineStr">
        <is>
          <t>https://td-perel.ru/catalog/perel-nl/kremovo-bezhevaya-kladochnaya-smes-perel-nl-50-kg/</t>
        </is>
      </c>
    </row>
    <row r="350">
      <c r="A350" s="8" t="inlineStr">
        <is>
          <t>Perel</t>
        </is>
      </c>
      <c r="B350" s="8" t="inlineStr">
        <is>
          <t>product</t>
        </is>
      </c>
      <c r="C350" s="8" t="inlineStr">
        <is>
          <t>Кремово-желтая кладочная смесь Perel NL 25 кг</t>
        </is>
      </c>
      <c r="D350" s="8" t="inlineStr">
        <is>
          <t>Perel NL</t>
        </is>
      </c>
      <c r="E350" s="8" t="inlineStr">
        <is>
          <t>кремово-желтый, 25 кг</t>
        </is>
      </c>
      <c r="F350" s="8" t="inlineStr">
        <is>
          <t>masonry_colored</t>
        </is>
      </c>
      <c r="G350" s="8" t="inlineStr">
        <is>
          <t>yes</t>
        </is>
      </c>
      <c r="H350" s="8" t="inlineStr">
        <is>
          <t>Цветная смесь Perel NL 0130 для кладки облицовочного кирпича с низким водопоглощением от 0 до 5% (клинкерный кирпич и т.п.).</t>
        </is>
      </c>
      <c r="I350" s="8" t="inlineStr">
        <is>
          <t>фасовка 25 кг</t>
        </is>
      </c>
      <c r="J350" s="8" t="inlineStr"/>
      <c r="K350" s="8" t="inlineStr">
        <is>
          <t>В наличии</t>
        </is>
      </c>
      <c r="L350" s="8" t="inlineStr">
        <is>
          <t>https://td-perel.ru/catalog/perel-nl/kremovo-zheltaya-kladochnaya-smes-perel-nl-25-kg/</t>
        </is>
      </c>
    </row>
    <row r="351">
      <c r="A351" s="8" t="inlineStr">
        <is>
          <t>Perel</t>
        </is>
      </c>
      <c r="B351" s="8" t="inlineStr">
        <is>
          <t>product</t>
        </is>
      </c>
      <c r="C351" s="8" t="inlineStr">
        <is>
          <t>Кремово-желтая кладочная смесь Perel NL 50 кг</t>
        </is>
      </c>
      <c r="D351" s="8" t="inlineStr">
        <is>
          <t>Perel NL</t>
        </is>
      </c>
      <c r="E351" s="8" t="inlineStr">
        <is>
          <t>кремово-желтый, 50 кг</t>
        </is>
      </c>
      <c r="F351" s="8" t="inlineStr">
        <is>
          <t>masonry_colored</t>
        </is>
      </c>
      <c r="G351" s="8" t="inlineStr">
        <is>
          <t>yes</t>
        </is>
      </c>
      <c r="H351" s="8" t="inlineStr">
        <is>
          <t>Цветная смесь Perel NL 0130 для кладки облицовочного кирпича с низким водопоглощением от 0 до 5% (клинкерный кирпич и т.п.).</t>
        </is>
      </c>
      <c r="I351" s="8" t="inlineStr">
        <is>
          <t>фасовка 50 кг</t>
        </is>
      </c>
      <c r="J351" s="8" t="inlineStr"/>
      <c r="K351" s="8" t="inlineStr">
        <is>
          <t>В наличии</t>
        </is>
      </c>
      <c r="L351" s="8" t="inlineStr">
        <is>
          <t>https://td-perel.ru/catalog/perel-nl/kremovo-zheltaya-kladochnaya-smes-perel-nl-50-kg/</t>
        </is>
      </c>
    </row>
    <row r="352">
      <c r="A352" s="8" t="inlineStr">
        <is>
          <t>Perel</t>
        </is>
      </c>
      <c r="B352" s="8" t="inlineStr">
        <is>
          <t>product</t>
        </is>
      </c>
      <c r="C352" s="8" t="inlineStr">
        <is>
          <t>Кремовая кладочная смесь Perel NL 25 кг</t>
        </is>
      </c>
      <c r="D352" s="8" t="inlineStr">
        <is>
          <t>Perel NL</t>
        </is>
      </c>
      <c r="E352" s="8" t="inlineStr">
        <is>
          <t>кремовый, 25 кг</t>
        </is>
      </c>
      <c r="F352" s="8" t="inlineStr">
        <is>
          <t>masonry_colored</t>
        </is>
      </c>
      <c r="G352" s="8" t="inlineStr">
        <is>
          <t>yes</t>
        </is>
      </c>
      <c r="H352" s="8" t="inlineStr">
        <is>
          <t>Цветная смесь Perel NL 0140 для кладки облицовочного кирпича с низким водопоглощением от 0 до 5% (клинкерный кирпич и т.п.).</t>
        </is>
      </c>
      <c r="I352" s="8" t="inlineStr">
        <is>
          <t>фасовка 25 кг</t>
        </is>
      </c>
      <c r="J352" s="8" t="inlineStr"/>
      <c r="K352" s="8" t="inlineStr">
        <is>
          <t>В наличии</t>
        </is>
      </c>
      <c r="L352" s="8" t="inlineStr">
        <is>
          <t>https://td-perel.ru/catalog/perel-nl/kremovaya-kladochnaya-smes-perel-nl-25-kg/</t>
        </is>
      </c>
    </row>
    <row r="353">
      <c r="A353" s="8" t="inlineStr">
        <is>
          <t>Perel</t>
        </is>
      </c>
      <c r="B353" s="8" t="inlineStr">
        <is>
          <t>product</t>
        </is>
      </c>
      <c r="C353" s="8" t="inlineStr">
        <is>
          <t>Кремовая кладочная смесь Perel NL 50 кг</t>
        </is>
      </c>
      <c r="D353" s="8" t="inlineStr">
        <is>
          <t>Perel NL</t>
        </is>
      </c>
      <c r="E353" s="8" t="inlineStr">
        <is>
          <t>кремовый, 50 кг</t>
        </is>
      </c>
      <c r="F353" s="8" t="inlineStr">
        <is>
          <t>masonry_colored</t>
        </is>
      </c>
      <c r="G353" s="8" t="inlineStr">
        <is>
          <t>yes</t>
        </is>
      </c>
      <c r="H353" s="8" t="inlineStr">
        <is>
          <t>Цветная смесь Perel NL 0140 для кладки облицовочного кирпича с низким водопоглощением от 0 до 5% (клинкерный кирпич и т.п.).</t>
        </is>
      </c>
      <c r="I353" s="8" t="inlineStr">
        <is>
          <t>фасовка 50 кг</t>
        </is>
      </c>
      <c r="J353" s="8" t="inlineStr"/>
      <c r="K353" s="8" t="inlineStr">
        <is>
          <t>В наличии</t>
        </is>
      </c>
      <c r="L353" s="8" t="inlineStr">
        <is>
          <t>https://td-perel.ru/catalog/perel-nl/kremovaya-kladochnaya-smes-perel-nl-50-kg/</t>
        </is>
      </c>
    </row>
    <row r="354">
      <c r="A354" s="8" t="inlineStr">
        <is>
          <t>Perel</t>
        </is>
      </c>
      <c r="B354" s="8" t="inlineStr">
        <is>
          <t>product</t>
        </is>
      </c>
      <c r="C354" s="8" t="inlineStr">
        <is>
          <t>Светло-коричневая кладочная смесь Perel NL 25 кг</t>
        </is>
      </c>
      <c r="D354" s="8" t="inlineStr">
        <is>
          <t>Perel NL</t>
        </is>
      </c>
      <c r="E354" s="8" t="inlineStr">
        <is>
          <t>светло-коричневый, 25 кг</t>
        </is>
      </c>
      <c r="F354" s="8" t="inlineStr">
        <is>
          <t>masonry_colored</t>
        </is>
      </c>
      <c r="G354" s="8" t="inlineStr">
        <is>
          <t>yes</t>
        </is>
      </c>
      <c r="H354" s="8" t="inlineStr">
        <is>
          <t>Цветная смесь Perel NL 0145 для кладки облицовочного кирпича с низким водопоглощением от 0 до 5% (клинкерный кирпич и т.п.).</t>
        </is>
      </c>
      <c r="I354" s="8" t="inlineStr">
        <is>
          <t>фасовка 25 кг</t>
        </is>
      </c>
      <c r="J354" s="8" t="inlineStr"/>
      <c r="K354" s="8" t="inlineStr">
        <is>
          <t>В наличии</t>
        </is>
      </c>
      <c r="L354" s="8" t="inlineStr">
        <is>
          <t>https://td-perel.ru/catalog/perel-nl/svetlo-korichnevaya-kladochnaya-smes-perel-nl-25-kg/</t>
        </is>
      </c>
    </row>
    <row r="355">
      <c r="A355" s="8" t="inlineStr">
        <is>
          <t>Perel</t>
        </is>
      </c>
      <c r="B355" s="8" t="inlineStr">
        <is>
          <t>product</t>
        </is>
      </c>
      <c r="C355" s="8" t="inlineStr">
        <is>
          <t>Светло-коричневая кладочная смесь Perel NL 50 кг</t>
        </is>
      </c>
      <c r="D355" s="8" t="inlineStr">
        <is>
          <t>Perel NL</t>
        </is>
      </c>
      <c r="E355" s="8" t="inlineStr">
        <is>
          <t>светло-коричневый, 50 кг</t>
        </is>
      </c>
      <c r="F355" s="8" t="inlineStr">
        <is>
          <t>masonry_colored</t>
        </is>
      </c>
      <c r="G355" s="8" t="inlineStr">
        <is>
          <t>yes</t>
        </is>
      </c>
      <c r="H355" s="8" t="inlineStr">
        <is>
          <t>Цветная смесь Perel NL 0145 для кладки облицовочного кирпича с низким водопоглощением от 0 до 5% (клинкерный кирпич и т.п.).</t>
        </is>
      </c>
      <c r="I355" s="8" t="inlineStr">
        <is>
          <t>фасовка 50 кг</t>
        </is>
      </c>
      <c r="J355" s="8" t="inlineStr"/>
      <c r="K355" s="8" t="inlineStr">
        <is>
          <t>В наличии</t>
        </is>
      </c>
      <c r="L355" s="8" t="inlineStr">
        <is>
          <t>https://td-perel.ru/catalog/perel-nl/svetlo-korichnevaya-kladochnaya-smes-perel-nl-50-kg/</t>
        </is>
      </c>
    </row>
    <row r="356">
      <c r="A356" s="8" t="inlineStr">
        <is>
          <t>Perel</t>
        </is>
      </c>
      <c r="B356" s="8" t="inlineStr">
        <is>
          <t>product</t>
        </is>
      </c>
      <c r="C356" s="8" t="inlineStr">
        <is>
          <t>Серая кладочная смесь Perel NL 25 кг</t>
        </is>
      </c>
      <c r="D356" s="8" t="inlineStr">
        <is>
          <t>Perel NL</t>
        </is>
      </c>
      <c r="E356" s="8" t="inlineStr">
        <is>
          <t>серый, 25 кг</t>
        </is>
      </c>
      <c r="F356" s="8" t="inlineStr">
        <is>
          <t>masonry_colored</t>
        </is>
      </c>
      <c r="G356" s="8" t="inlineStr">
        <is>
          <t>yes</t>
        </is>
      </c>
      <c r="H356" s="8" t="inlineStr">
        <is>
          <t>Цветная смесь Perel NL 0110 для кладки облицовочного кирпича с низким водопоглощением от 0 до 5% (клинкерный кирпич и т.п.).</t>
        </is>
      </c>
      <c r="I356" s="8" t="inlineStr">
        <is>
          <t>фасовка 25 кг</t>
        </is>
      </c>
      <c r="J356" s="8" t="inlineStr"/>
      <c r="K356" s="8" t="inlineStr">
        <is>
          <t>В наличии</t>
        </is>
      </c>
      <c r="L356" s="8" t="inlineStr">
        <is>
          <t>https://td-perel.ru/catalog/perel-nl/seraya-kladochnaya-smes-perel-nl-25-kg/</t>
        </is>
      </c>
    </row>
    <row r="357">
      <c r="A357" s="8" t="inlineStr">
        <is>
          <t>Perel</t>
        </is>
      </c>
      <c r="B357" s="8" t="inlineStr">
        <is>
          <t>product</t>
        </is>
      </c>
      <c r="C357" s="8" t="inlineStr">
        <is>
          <t>Серая кладочная смесь Perel NL 50 кг</t>
        </is>
      </c>
      <c r="D357" s="8" t="inlineStr">
        <is>
          <t>Perel NL</t>
        </is>
      </c>
      <c r="E357" s="8" t="inlineStr">
        <is>
          <t>серый, 50 кг</t>
        </is>
      </c>
      <c r="F357" s="8" t="inlineStr">
        <is>
          <t>masonry_colored</t>
        </is>
      </c>
      <c r="G357" s="8" t="inlineStr">
        <is>
          <t>yes</t>
        </is>
      </c>
      <c r="H357" s="8" t="inlineStr">
        <is>
          <t>Цветная смесь Perel NL 0110 для кладки облицовочного кирпича с низким водопоглощением от 0 до 5% (клинкерный кирпич и т.п.).</t>
        </is>
      </c>
      <c r="I357" s="8" t="inlineStr">
        <is>
          <t>фасовка 50 кг</t>
        </is>
      </c>
      <c r="J357" s="8" t="inlineStr"/>
      <c r="K357" s="8" t="inlineStr">
        <is>
          <t>В наличии</t>
        </is>
      </c>
      <c r="L357" s="8" t="inlineStr">
        <is>
          <t>https://td-perel.ru/catalog/perel-nl/seraya-kladochnaya-smes-perel-nl-50-kg/</t>
        </is>
      </c>
    </row>
    <row r="358">
      <c r="A358" s="8" t="inlineStr">
        <is>
          <t>Perel</t>
        </is>
      </c>
      <c r="B358" s="8" t="inlineStr">
        <is>
          <t>product</t>
        </is>
      </c>
      <c r="C358" s="8" t="inlineStr">
        <is>
          <t>Супер-белая кладочная смесь Perel NL 25 кг</t>
        </is>
      </c>
      <c r="D358" s="8" t="inlineStr">
        <is>
          <t>Perel NL</t>
        </is>
      </c>
      <c r="E358" s="8" t="inlineStr">
        <is>
          <t>супер-белый, 25 кг</t>
        </is>
      </c>
      <c r="F358" s="8" t="inlineStr">
        <is>
          <t>masonry_colored</t>
        </is>
      </c>
      <c r="G358" s="8" t="inlineStr">
        <is>
          <t>yes</t>
        </is>
      </c>
      <c r="H358" s="8" t="inlineStr">
        <is>
          <t>Цветная смесь Perel NL 0101 для кладки облицовочного кирпича с низким водопоглощением от 0 до 5% (клинкерный кирпич и т.п.).</t>
        </is>
      </c>
      <c r="I358" s="8" t="inlineStr">
        <is>
          <t>фасовка 25 кг</t>
        </is>
      </c>
      <c r="J358" s="8" t="inlineStr"/>
      <c r="K358" s="8" t="inlineStr">
        <is>
          <t>В наличии</t>
        </is>
      </c>
      <c r="L358" s="8" t="inlineStr">
        <is>
          <t>https://td-perel.ru/catalog/perel-nl/super-belaya-kladochnaya-smes-perel-nl-25-kg/</t>
        </is>
      </c>
    </row>
    <row r="359">
      <c r="A359" s="8" t="inlineStr">
        <is>
          <t>Perel</t>
        </is>
      </c>
      <c r="B359" s="8" t="inlineStr">
        <is>
          <t>product</t>
        </is>
      </c>
      <c r="C359" s="8" t="inlineStr">
        <is>
          <t>Супер-белая кладочная смесь Perel NL 50 кг</t>
        </is>
      </c>
      <c r="D359" s="8" t="inlineStr">
        <is>
          <t>Perel NL</t>
        </is>
      </c>
      <c r="E359" s="8" t="inlineStr">
        <is>
          <t>супер-белый, 50 кг</t>
        </is>
      </c>
      <c r="F359" s="8" t="inlineStr">
        <is>
          <t>masonry_colored</t>
        </is>
      </c>
      <c r="G359" s="8" t="inlineStr">
        <is>
          <t>yes</t>
        </is>
      </c>
      <c r="H359" s="8" t="inlineStr">
        <is>
          <t>Цветная смесь Perel NL 0101 для кладки облицовочного кирпича с низким водопоглощением от 0 до 5% (клинкерный кирпич и т.п.).</t>
        </is>
      </c>
      <c r="I359" s="8" t="inlineStr">
        <is>
          <t>фасовка 50 кг</t>
        </is>
      </c>
      <c r="J359" s="8" t="inlineStr"/>
      <c r="K359" s="8" t="inlineStr">
        <is>
          <t>В наличии</t>
        </is>
      </c>
      <c r="L359" s="8" t="inlineStr">
        <is>
          <t>https://td-perel.ru/catalog/perel-nl/super-belaya-kladochnaya-smes-perel-nl-50-kg/</t>
        </is>
      </c>
    </row>
    <row r="360">
      <c r="A360" s="8" t="inlineStr">
        <is>
          <t>Perel</t>
        </is>
      </c>
      <c r="B360" s="8" t="inlineStr">
        <is>
          <t>product</t>
        </is>
      </c>
      <c r="C360" s="8" t="inlineStr">
        <is>
          <t>Темно-серая кладочная смесь Perel NL 25 кг</t>
        </is>
      </c>
      <c r="D360" s="8" t="inlineStr">
        <is>
          <t>Perel NL</t>
        </is>
      </c>
      <c r="E360" s="8" t="inlineStr">
        <is>
          <t>темно-серый, 25 кг</t>
        </is>
      </c>
      <c r="F360" s="8" t="inlineStr">
        <is>
          <t>masonry_colored</t>
        </is>
      </c>
      <c r="G360" s="8" t="inlineStr">
        <is>
          <t>yes</t>
        </is>
      </c>
      <c r="H360" s="8" t="inlineStr">
        <is>
          <t>Цветная смесь Perel NL 0115 для кладки облицовочного кирпича с низким водопоглощением от 0 до 5% (клинкерный кирпич и т.п.).</t>
        </is>
      </c>
      <c r="I360" s="8" t="inlineStr">
        <is>
          <t>фасовка 25 кг</t>
        </is>
      </c>
      <c r="J360" s="8" t="inlineStr"/>
      <c r="K360" s="8" t="inlineStr">
        <is>
          <t>В наличии</t>
        </is>
      </c>
      <c r="L360" s="8" t="inlineStr">
        <is>
          <t>https://td-perel.ru/catalog/perel-nl/temno-seraya-kladochnaya-smes-perel-nl-25-kg/</t>
        </is>
      </c>
    </row>
    <row r="361">
      <c r="A361" s="8" t="inlineStr">
        <is>
          <t>Perel</t>
        </is>
      </c>
      <c r="B361" s="8" t="inlineStr">
        <is>
          <t>product</t>
        </is>
      </c>
      <c r="C361" s="8" t="inlineStr">
        <is>
          <t>Темно-серая кладочная смесь Perel NL 50 кг</t>
        </is>
      </c>
      <c r="D361" s="8" t="inlineStr">
        <is>
          <t>Perel NL</t>
        </is>
      </c>
      <c r="E361" s="8" t="inlineStr">
        <is>
          <t>темно-серый, 50 кг</t>
        </is>
      </c>
      <c r="F361" s="8" t="inlineStr">
        <is>
          <t>masonry_colored</t>
        </is>
      </c>
      <c r="G361" s="8" t="inlineStr">
        <is>
          <t>yes</t>
        </is>
      </c>
      <c r="H361" s="8" t="inlineStr">
        <is>
          <t>Цветная смесь Perel NL 0115 для кладки облицовочного кирпича с низким водопоглощением от 0 до 5% (клинкерный кирпич и т.п.).</t>
        </is>
      </c>
      <c r="I361" s="8" t="inlineStr">
        <is>
          <t>фасовка 50 кг</t>
        </is>
      </c>
      <c r="J361" s="8" t="inlineStr"/>
      <c r="K361" s="8" t="inlineStr">
        <is>
          <t>В наличии</t>
        </is>
      </c>
      <c r="L361" s="8" t="inlineStr">
        <is>
          <t>https://td-perel.ru/catalog/perel-nl/temno-seraya-kladochnaya-smes-perel-nl-50-kg/</t>
        </is>
      </c>
    </row>
    <row r="362">
      <c r="A362" s="8" t="inlineStr">
        <is>
          <t>Perel</t>
        </is>
      </c>
      <c r="B362" s="8" t="inlineStr">
        <is>
          <t>product</t>
        </is>
      </c>
      <c r="C362" s="8" t="inlineStr">
        <is>
          <t>Черная кладочная смесь Perel NL 25 кг</t>
        </is>
      </c>
      <c r="D362" s="8" t="inlineStr">
        <is>
          <t>Perel NL</t>
        </is>
      </c>
      <c r="E362" s="8" t="inlineStr">
        <is>
          <t>черный, 25 кг</t>
        </is>
      </c>
      <c r="F362" s="8" t="inlineStr">
        <is>
          <t>masonry_colored</t>
        </is>
      </c>
      <c r="G362" s="8" t="inlineStr">
        <is>
          <t>yes</t>
        </is>
      </c>
      <c r="H362" s="8" t="inlineStr">
        <is>
          <t>Цветная смесь Perel NL 0165 для кладки облицовочного кирпича с низким водопоглощением от 0 до 5% (клинкерный кирпич и т.п.).</t>
        </is>
      </c>
      <c r="I362" s="8" t="inlineStr">
        <is>
          <t>фасовка 25 кг</t>
        </is>
      </c>
      <c r="J362" s="8" t="inlineStr"/>
      <c r="K362" s="8" t="inlineStr">
        <is>
          <t>В наличии</t>
        </is>
      </c>
      <c r="L362" s="8" t="inlineStr">
        <is>
          <t>https://td-perel.ru/catalog/perel-nl/chernaya-kladochnaya-smes-perel-nl-25-kg/</t>
        </is>
      </c>
    </row>
    <row r="363">
      <c r="A363" s="8" t="inlineStr">
        <is>
          <t>Perel</t>
        </is>
      </c>
      <c r="B363" s="8" t="inlineStr">
        <is>
          <t>product</t>
        </is>
      </c>
      <c r="C363" s="8" t="inlineStr">
        <is>
          <t>Черная кладочная смесь Perel NL 50 кг</t>
        </is>
      </c>
      <c r="D363" s="8" t="inlineStr">
        <is>
          <t>Perel NL</t>
        </is>
      </c>
      <c r="E363" s="8" t="inlineStr">
        <is>
          <t>черный, 50 кг</t>
        </is>
      </c>
      <c r="F363" s="8" t="inlineStr">
        <is>
          <t>masonry_colored</t>
        </is>
      </c>
      <c r="G363" s="8" t="inlineStr">
        <is>
          <t>yes</t>
        </is>
      </c>
      <c r="H363" s="8" t="inlineStr">
        <is>
          <t>Цветная смесь Perel NL 0165 для кладки облицовочного кирпича с низким водопоглощением от 0 до 5% (клинкерный кирпич и т.п.).</t>
        </is>
      </c>
      <c r="I363" s="8" t="inlineStr">
        <is>
          <t>фасовка 50 кг</t>
        </is>
      </c>
      <c r="J363" s="8" t="inlineStr"/>
      <c r="K363" s="8" t="inlineStr">
        <is>
          <t>В наличии</t>
        </is>
      </c>
      <c r="L363" s="8" t="inlineStr">
        <is>
          <t>https://td-perel.ru/catalog/perel-nl/chernaya-kladochnaya-smes-perel-nl-50-kg/</t>
        </is>
      </c>
    </row>
    <row r="364">
      <c r="A364" s="8" t="inlineStr">
        <is>
          <t>Perel</t>
        </is>
      </c>
      <c r="B364" s="8" t="inlineStr">
        <is>
          <t>product</t>
        </is>
      </c>
      <c r="C364" s="8" t="inlineStr">
        <is>
          <t>Шоколадная кладочная смесь Perel NL 25 кг</t>
        </is>
      </c>
      <c r="D364" s="8" t="inlineStr">
        <is>
          <t>Perel NL</t>
        </is>
      </c>
      <c r="E364" s="8" t="inlineStr">
        <is>
          <t>шоколадный, 25 кг</t>
        </is>
      </c>
      <c r="F364" s="8" t="inlineStr">
        <is>
          <t>masonry_colored</t>
        </is>
      </c>
      <c r="G364" s="8" t="inlineStr">
        <is>
          <t>yes</t>
        </is>
      </c>
      <c r="H364" s="8" t="inlineStr">
        <is>
          <t>Цветная смесь Perel NL 0155 для кладки облицовочного кирпича с низким водопоглощением от 0 до 5% (клинкерный кирпич и т.п.).</t>
        </is>
      </c>
      <c r="I364" s="8" t="inlineStr">
        <is>
          <t>фасовка 25 кг</t>
        </is>
      </c>
      <c r="J364" s="8" t="inlineStr"/>
      <c r="K364" s="8" t="inlineStr">
        <is>
          <t>В наличии</t>
        </is>
      </c>
      <c r="L364" s="8" t="inlineStr">
        <is>
          <t>https://td-perel.ru/catalog/perel-nl/shokoladnaya-kladochnaya-smes-perel-nl-25-kg/</t>
        </is>
      </c>
    </row>
    <row r="365">
      <c r="A365" s="8" t="inlineStr">
        <is>
          <t>Perel</t>
        </is>
      </c>
      <c r="B365" s="8" t="inlineStr">
        <is>
          <t>product</t>
        </is>
      </c>
      <c r="C365" s="8" t="inlineStr">
        <is>
          <t>Шоколадная кладочная смесь Perel NL 50 кг</t>
        </is>
      </c>
      <c r="D365" s="8" t="inlineStr">
        <is>
          <t>Perel NL</t>
        </is>
      </c>
      <c r="E365" s="8" t="inlineStr">
        <is>
          <t>шоколадный, 50 кг</t>
        </is>
      </c>
      <c r="F365" s="8" t="inlineStr">
        <is>
          <t>masonry_colored</t>
        </is>
      </c>
      <c r="G365" s="8" t="inlineStr">
        <is>
          <t>yes</t>
        </is>
      </c>
      <c r="H365" s="8" t="inlineStr">
        <is>
          <t>Цветная смесь Perel NL 0155 для кладки облицовочного кирпича с низким водопоглощением от 0 до 5% (клинкерный кирпич и т.п.).</t>
        </is>
      </c>
      <c r="I365" s="8" t="inlineStr">
        <is>
          <t>фасовка 50 кг</t>
        </is>
      </c>
      <c r="J365" s="8" t="inlineStr"/>
      <c r="K365" s="8" t="inlineStr">
        <is>
          <t>В наличии</t>
        </is>
      </c>
      <c r="L365" s="8" t="inlineStr">
        <is>
          <t>https://td-perel.ru/catalog/perel-nl/shokoladnaya-kladochnaya-smes-perel-nl-50-kg/</t>
        </is>
      </c>
    </row>
    <row r="366">
      <c r="A366" s="8" t="inlineStr">
        <is>
          <t>Perel</t>
        </is>
      </c>
      <c r="B366" s="8" t="inlineStr">
        <is>
          <t>product</t>
        </is>
      </c>
      <c r="C366" s="8" t="inlineStr">
        <is>
          <t>Perel No Frost, 1 л</t>
        </is>
      </c>
      <c r="D366" s="8" t="inlineStr">
        <is>
          <t>Perel No Frost</t>
        </is>
      </c>
      <c r="E366" s="8" t="inlineStr">
        <is>
          <t>1 л</t>
        </is>
      </c>
      <c r="F366" s="8" t="inlineStr">
        <is>
          <t>additive</t>
        </is>
      </c>
      <c r="G366" s="8" t="inlineStr">
        <is>
          <t>no</t>
        </is>
      </c>
      <c r="H366" s="8" t="inlineStr">
        <is>
          <t>Добавка Perel NoFrost понижает температуру кристаллизации воды затворения, а следовательно и температуру замерзания строительного раствора.</t>
        </is>
      </c>
      <c r="I366" s="8" t="inlineStr">
        <is>
          <t>Канистра 1 л</t>
        </is>
      </c>
      <c r="J366" s="8" t="inlineStr"/>
      <c r="K366" s="8" t="inlineStr">
        <is>
          <t>В наличии</t>
        </is>
      </c>
      <c r="L366" s="8" t="inlineStr">
        <is>
          <t>https://td-perel.ru/catalog/protivomoroznaya-dobavka/perel-no-frost-1-l/</t>
        </is>
      </c>
    </row>
    <row r="367">
      <c r="A367" s="8" t="inlineStr">
        <is>
          <t>Perel</t>
        </is>
      </c>
      <c r="B367" s="8" t="inlineStr">
        <is>
          <t>product</t>
        </is>
      </c>
      <c r="C367" s="8" t="inlineStr">
        <is>
          <t>Perel No Frost, 10 л</t>
        </is>
      </c>
      <c r="D367" s="8" t="inlineStr">
        <is>
          <t>Perel No Frost</t>
        </is>
      </c>
      <c r="E367" s="8" t="inlineStr">
        <is>
          <t>10 л</t>
        </is>
      </c>
      <c r="F367" s="8" t="inlineStr">
        <is>
          <t>additive</t>
        </is>
      </c>
      <c r="G367" s="8" t="inlineStr">
        <is>
          <t>no</t>
        </is>
      </c>
      <c r="H367" s="8" t="inlineStr">
        <is>
          <t>Добавка Perel NoFrost понижает температуру кристаллизации воды затворения, а следовательно и температуру замерзания строительного раствора.</t>
        </is>
      </c>
      <c r="I367" s="8" t="inlineStr">
        <is>
          <t>Канистра 10 литров</t>
        </is>
      </c>
      <c r="J367" s="8" t="inlineStr"/>
      <c r="K367" s="8" t="inlineStr">
        <is>
          <t>В наличии</t>
        </is>
      </c>
      <c r="L367" s="8" t="inlineStr">
        <is>
          <t>https://td-perel.ru/catalog/protivomoroznaya-dobavka/perel-no-frost-1-l9574/</t>
        </is>
      </c>
    </row>
    <row r="368">
      <c r="A368" s="8" t="inlineStr">
        <is>
          <t>Perel</t>
        </is>
      </c>
      <c r="B368" s="8" t="inlineStr">
        <is>
          <t>product</t>
        </is>
      </c>
      <c r="C368" s="8" t="inlineStr">
        <is>
          <t>Perel Plast, 30 кг, белая, пластичная гипсовая штукатурка с увеличенным временем жизни</t>
        </is>
      </c>
      <c r="D368" s="8" t="inlineStr">
        <is>
          <t>Perel Plast</t>
        </is>
      </c>
      <c r="E368" s="8" t="inlineStr">
        <is>
          <t>белая, 30 кг</t>
        </is>
      </c>
      <c r="F368" s="8" t="inlineStr">
        <is>
          <t>plaster_gypsum</t>
        </is>
      </c>
      <c r="G368" s="8" t="inlineStr">
        <is>
          <t>yes</t>
        </is>
      </c>
      <c r="H368" s="8" t="inlineStr">
        <is>
          <t>Пластичная гипсовая штукатурная смесь на основе природного гипса, минерального наполнителя и полимерных добавок, для выравнивания стен (до 50 мм) из бетона, газобетона, кирпича и каменных поверхностей ручным способом, внутри жилых и общественных сухих помещений с нормальным уровнем температуры и влажности.</t>
        </is>
      </c>
      <c r="I368" s="8" t="inlineStr">
        <is>
          <t>Бумажные крафт-мешки по 30 кг.</t>
        </is>
      </c>
      <c r="J368" s="8" t="inlineStr"/>
      <c r="K368" s="8" t="inlineStr">
        <is>
          <t>В наличии</t>
        </is>
      </c>
      <c r="L368" s="8" t="inlineStr">
        <is>
          <t>https://td-perel.ru/catalog/gipsovaya-shtukaturka/gipsovaya-shtukaturka-plastichnaya-perel-plast-belaya-30-kg/</t>
        </is>
      </c>
    </row>
    <row r="369">
      <c r="A369" s="8" t="inlineStr">
        <is>
          <t>Perel</t>
        </is>
      </c>
      <c r="B369" s="8" t="inlineStr">
        <is>
          <t>product</t>
        </is>
      </c>
      <c r="C369" s="8" t="inlineStr">
        <is>
          <t>Perel Plaster Wall, белая, 25 кг, шпаклевка гипсовая</t>
        </is>
      </c>
      <c r="D369" s="8" t="inlineStr">
        <is>
          <t>Perel Plaster Wall</t>
        </is>
      </c>
      <c r="E369" s="8" t="inlineStr">
        <is>
          <t>белая, 25 кг</t>
        </is>
      </c>
      <c r="F369" s="8" t="inlineStr">
        <is>
          <t>putty_gypsum</t>
        </is>
      </c>
      <c r="G369" s="8" t="inlineStr">
        <is>
          <t>yes</t>
        </is>
      </c>
      <c r="H369" s="8" t="inlineStr">
        <is>
          <t>Универсальная гипсовая шпаклевка для внутренних работ на основе природного гипса и европейских полимерных добавок для заделки стыков листов ГКЛ и ГВЛ и первичного выравнивания стен и потолков перед финишной отделкой.</t>
        </is>
      </c>
      <c r="I369" s="8" t="inlineStr">
        <is>
          <t>Бумажные крафт-мешки по 25 кг.</t>
        </is>
      </c>
      <c r="J369" s="8" t="inlineStr"/>
      <c r="K369" s="8" t="inlineStr">
        <is>
          <t>В наличии</t>
        </is>
      </c>
      <c r="L369" s="8" t="inlineStr">
        <is>
          <t>https://td-perel.ru/catalog/gipsovaya_shpaklevka/shpaklevka-gipsovaya-perel-plaster-wall-belaya-25-kg/</t>
        </is>
      </c>
    </row>
    <row r="370">
      <c r="A370" s="8" t="inlineStr">
        <is>
          <t>Perel</t>
        </is>
      </c>
      <c r="B370" s="8" t="inlineStr">
        <is>
          <t>product</t>
        </is>
      </c>
      <c r="C370" s="8" t="inlineStr">
        <is>
          <t>Perel Premium C1TE, 25 кг, клеевая смесь беспылевая</t>
        </is>
      </c>
      <c r="D370" s="8" t="inlineStr">
        <is>
          <t>Perel Premium C1TE</t>
        </is>
      </c>
      <c r="E370" s="8" t="inlineStr">
        <is>
          <t>серый, 25 кг</t>
        </is>
      </c>
      <c r="F370" s="8" t="inlineStr">
        <is>
          <t>tile_adhesive</t>
        </is>
      </c>
      <c r="G370" s="8" t="inlineStr">
        <is>
          <t>yes</t>
        </is>
      </c>
      <c r="H370" s="8" t="inlineStr">
        <is>
          <t>Используется для укладки тяжелой плитки больших размеров, натурального и искусственного камня, клинкерной плитки на минеральные недеформирующиеся основания в сухих и влажных помещениях.</t>
        </is>
      </c>
      <c r="I370" s="8" t="inlineStr">
        <is>
          <t>Бумажные крафт-мешки 25 кг.</t>
        </is>
      </c>
      <c r="J370" s="8" t="inlineStr">
        <is>
          <t>3,5-4,0 кг смеси на м2 при использовании зубчатого шпателя 6×6 мм.</t>
        </is>
      </c>
      <c r="K370" s="8" t="inlineStr">
        <is>
          <t>В наличии</t>
        </is>
      </c>
      <c r="L370" s="8" t="inlineStr">
        <is>
          <t>https://td-perel.ru/catalog/klei-dlya-plitki-i-kamnya/kleevaya-smes-perel-premium-c1te-25-kg/</t>
        </is>
      </c>
    </row>
    <row r="371">
      <c r="A371" s="8" t="inlineStr">
        <is>
          <t>Perel</t>
        </is>
      </c>
      <c r="B371" s="8" t="inlineStr">
        <is>
          <t>product</t>
        </is>
      </c>
      <c r="C371" s="8" t="inlineStr">
        <is>
          <t>Perel Quarzo, 18 кг</t>
        </is>
      </c>
      <c r="D371" s="8" t="inlineStr">
        <is>
          <t>Perel Quarzo</t>
        </is>
      </c>
      <c r="E371" s="8" t="inlineStr">
        <is>
          <t>ведро 18 кг</t>
        </is>
      </c>
      <c r="F371" s="8" t="inlineStr">
        <is>
          <t>primer</t>
        </is>
      </c>
      <c r="G371" s="8" t="inlineStr">
        <is>
          <t>no</t>
        </is>
      </c>
      <c r="H371" s="8" t="inlineStr">
        <is>
          <t>Специализированный кварц-грунт на основе полимерных смол с минеральным наполнителем для подготовки основания перед нанесением декоративной штукатурки.</t>
        </is>
      </c>
      <c r="I371" s="8" t="inlineStr">
        <is>
          <t>Пластиковое ведро 18 кг.</t>
        </is>
      </c>
      <c r="J371" s="8" t="inlineStr">
        <is>
          <t>Расход 0,35 кг на 1 м²</t>
        </is>
      </c>
      <c r="K371" s="8" t="inlineStr">
        <is>
          <t>В наличии</t>
        </is>
      </c>
      <c r="L371" s="8" t="inlineStr">
        <is>
          <t>https://td-perel.ru/catalog/gruntovka/perel-quarzo/</t>
        </is>
      </c>
    </row>
    <row r="372">
      <c r="A372" s="8" t="inlineStr">
        <is>
          <t>Perel</t>
        </is>
      </c>
      <c r="B372" s="8" t="inlineStr">
        <is>
          <t>product</t>
        </is>
      </c>
      <c r="C372" s="8" t="inlineStr">
        <is>
          <t>Бежевая затирочная смесь Perel RL 25 кг</t>
        </is>
      </c>
      <c r="D372" s="8" t="inlineStr">
        <is>
          <t>Perel RL</t>
        </is>
      </c>
      <c r="E372" s="8" t="inlineStr">
        <is>
          <t>бежевый, 25 кг</t>
        </is>
      </c>
      <c r="F372" s="8" t="inlineStr">
        <is>
          <t>tile_grout</t>
        </is>
      </c>
      <c r="G372" s="8" t="inlineStr">
        <is>
          <t>yes</t>
        </is>
      </c>
      <c r="H372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72" s="8" t="inlineStr">
        <is>
          <t>Бумажные крафт-мешки по 25 кг.</t>
        </is>
      </c>
      <c r="J372" s="8" t="inlineStr">
        <is>
          <t>2 – 6 кг/м2 в зависимости от ширины швов и формата облицовочного материала.</t>
        </is>
      </c>
      <c r="K372" s="8" t="inlineStr">
        <is>
          <t>В наличии</t>
        </is>
      </c>
      <c r="L372" s="8" t="inlineStr">
        <is>
          <t>https://td-perel.ru/catalog/tsvetnaya-zatirochnaya-smes-perel-rl/bezhevaya-zatirochnaya-smes-perel-rl-25-kg/</t>
        </is>
      </c>
    </row>
    <row r="373">
      <c r="A373" s="8" t="inlineStr">
        <is>
          <t>Perel</t>
        </is>
      </c>
      <c r="B373" s="8" t="inlineStr">
        <is>
          <t>product</t>
        </is>
      </c>
      <c r="C373" s="8" t="inlineStr">
        <is>
          <t>Белая затирочная смесь Perel RL 25 кг</t>
        </is>
      </c>
      <c r="D373" s="8" t="inlineStr">
        <is>
          <t>Perel RL</t>
        </is>
      </c>
      <c r="E373" s="8" t="inlineStr">
        <is>
          <t>белый, 25 кг</t>
        </is>
      </c>
      <c r="F373" s="8" t="inlineStr">
        <is>
          <t>tile_grout</t>
        </is>
      </c>
      <c r="G373" s="8" t="inlineStr">
        <is>
          <t>yes</t>
        </is>
      </c>
      <c r="H373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73" s="8" t="inlineStr">
        <is>
          <t>Бумажные крафт-мешки по 25 кг.</t>
        </is>
      </c>
      <c r="J373" s="8" t="inlineStr">
        <is>
          <t>2 – 6 кг/м2 в зависимости от ширины швов и формата облицовочного материала.</t>
        </is>
      </c>
      <c r="K373" s="8" t="inlineStr">
        <is>
          <t>В наличии</t>
        </is>
      </c>
      <c r="L373" s="8" t="inlineStr">
        <is>
          <t>https://td-perel.ru/catalog/tsvetnaya-zatirochnaya-smes-perel-rl/belaya-zatirochnaya-smes-perel-rl-25-kg/</t>
        </is>
      </c>
    </row>
    <row r="374">
      <c r="A374" s="8" t="inlineStr">
        <is>
          <t>Perel</t>
        </is>
      </c>
      <c r="B374" s="8" t="inlineStr">
        <is>
          <t>product</t>
        </is>
      </c>
      <c r="C374" s="8" t="inlineStr">
        <is>
          <t>Горчичная затирочная смесь Perel RL 25 кг</t>
        </is>
      </c>
      <c r="D374" s="8" t="inlineStr">
        <is>
          <t>Perel RL</t>
        </is>
      </c>
      <c r="E374" s="8" t="inlineStr">
        <is>
          <t>горчичный, 25 кг</t>
        </is>
      </c>
      <c r="F374" s="8" t="inlineStr">
        <is>
          <t>tile_grout</t>
        </is>
      </c>
      <c r="G374" s="8" t="inlineStr">
        <is>
          <t>yes</t>
        </is>
      </c>
      <c r="H374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74" s="8" t="inlineStr">
        <is>
          <t>Бумажные крафт-мешки по 25 кг.</t>
        </is>
      </c>
      <c r="J374" s="8" t="inlineStr">
        <is>
          <t>2 – 6 кг/м2 в зависимости от ширины швов и формата облицовочного материала.</t>
        </is>
      </c>
      <c r="K374" s="8" t="inlineStr">
        <is>
          <t>В наличии</t>
        </is>
      </c>
      <c r="L374" s="8" t="inlineStr">
        <is>
          <t>https://td-perel.ru/catalog/tsvetnaya-zatirochnaya-smes-perel-rl/gorchichnaya-zatirochnaya-smes-perel-rl-25-kg/</t>
        </is>
      </c>
    </row>
    <row r="375">
      <c r="A375" s="8" t="inlineStr">
        <is>
          <t>Perel</t>
        </is>
      </c>
      <c r="B375" s="8" t="inlineStr">
        <is>
          <t>product</t>
        </is>
      </c>
      <c r="C375" s="8" t="inlineStr">
        <is>
          <t>Кирпичная затирочная смесь Perel RL 25 кг</t>
        </is>
      </c>
      <c r="D375" s="8" t="inlineStr">
        <is>
          <t>Perel RL</t>
        </is>
      </c>
      <c r="E375" s="8" t="inlineStr">
        <is>
          <t>кирпичный, 25 кг</t>
        </is>
      </c>
      <c r="F375" s="8" t="inlineStr">
        <is>
          <t>tile_grout</t>
        </is>
      </c>
      <c r="G375" s="8" t="inlineStr">
        <is>
          <t>yes</t>
        </is>
      </c>
      <c r="H375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75" s="8" t="inlineStr">
        <is>
          <t>Бумажные крафт-мешки по 25 кг.</t>
        </is>
      </c>
      <c r="J375" s="8" t="inlineStr">
        <is>
          <t>2 – 6 кг/м2 в зависимости от ширины швов и формата облицовочного материала.</t>
        </is>
      </c>
      <c r="K375" s="8" t="inlineStr">
        <is>
          <t>В наличии</t>
        </is>
      </c>
      <c r="L375" s="8" t="inlineStr">
        <is>
          <t>https://td-perel.ru/catalog/tsvetnaya-zatirochnaya-smes-perel-rl/kirpichnaya-zatirochnaya-smes-perel-rl-25-kg/</t>
        </is>
      </c>
    </row>
    <row r="376">
      <c r="A376" s="8" t="inlineStr">
        <is>
          <t>Perel</t>
        </is>
      </c>
      <c r="B376" s="8" t="inlineStr">
        <is>
          <t>product</t>
        </is>
      </c>
      <c r="C376" s="8" t="inlineStr">
        <is>
          <t>Коричневая затирочная смесь Perel RL 25 кг</t>
        </is>
      </c>
      <c r="D376" s="8" t="inlineStr">
        <is>
          <t>Perel RL</t>
        </is>
      </c>
      <c r="E376" s="8" t="inlineStr">
        <is>
          <t>коричневый, 25 кг</t>
        </is>
      </c>
      <c r="F376" s="8" t="inlineStr">
        <is>
          <t>tile_grout</t>
        </is>
      </c>
      <c r="G376" s="8" t="inlineStr">
        <is>
          <t>yes</t>
        </is>
      </c>
      <c r="H376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76" s="8" t="inlineStr">
        <is>
          <t>Бумажные крафт-мешки по 25 кг.</t>
        </is>
      </c>
      <c r="J376" s="8" t="inlineStr">
        <is>
          <t>2 – 6 кг/м2 в зависимости от ширины швов и формата облицовочного материала.</t>
        </is>
      </c>
      <c r="K376" s="8" t="inlineStr">
        <is>
          <t>В наличии</t>
        </is>
      </c>
      <c r="L376" s="8" t="inlineStr">
        <is>
          <t>https://td-perel.ru/catalog/tsvetnaya-zatirochnaya-smes-perel-rl/korichnevaya-zatirochnaya-smes-perel-rl-25-kg/</t>
        </is>
      </c>
    </row>
    <row r="377">
      <c r="A377" s="8" t="inlineStr">
        <is>
          <t>Perel</t>
        </is>
      </c>
      <c r="B377" s="8" t="inlineStr">
        <is>
          <t>product</t>
        </is>
      </c>
      <c r="C377" s="8" t="inlineStr">
        <is>
          <t>Кремовая затирочная смесь Perel RL 25 кг</t>
        </is>
      </c>
      <c r="D377" s="8" t="inlineStr">
        <is>
          <t>Perel RL</t>
        </is>
      </c>
      <c r="E377" s="8" t="inlineStr">
        <is>
          <t>кремовый, 25 кг</t>
        </is>
      </c>
      <c r="F377" s="8" t="inlineStr">
        <is>
          <t>tile_grout</t>
        </is>
      </c>
      <c r="G377" s="8" t="inlineStr">
        <is>
          <t>yes</t>
        </is>
      </c>
      <c r="H377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77" s="8" t="inlineStr">
        <is>
          <t>Бумажные крафт-мешки по 25 кг.</t>
        </is>
      </c>
      <c r="J377" s="8" t="inlineStr">
        <is>
          <t>2 – 6 кг/м2 в зависимости от ширины швов и формата облицовочного материала.</t>
        </is>
      </c>
      <c r="K377" s="8" t="inlineStr">
        <is>
          <t>В наличии</t>
        </is>
      </c>
      <c r="L377" s="8" t="inlineStr">
        <is>
          <t>https://td-perel.ru/catalog/tsvetnaya-zatirochnaya-smes-perel-rl/kremovaya-zatirochnaya-smes-perel-rl-25-kg/</t>
        </is>
      </c>
    </row>
    <row r="378">
      <c r="A378" s="8" t="inlineStr">
        <is>
          <t>Perel</t>
        </is>
      </c>
      <c r="B378" s="8" t="inlineStr">
        <is>
          <t>product</t>
        </is>
      </c>
      <c r="C378" s="8" t="inlineStr">
        <is>
          <t>Медная затирочная смесь Perel RL 25 кг</t>
        </is>
      </c>
      <c r="D378" s="8" t="inlineStr">
        <is>
          <t>Perel RL</t>
        </is>
      </c>
      <c r="E378" s="8" t="inlineStr">
        <is>
          <t>медный, 25 кг</t>
        </is>
      </c>
      <c r="F378" s="8" t="inlineStr">
        <is>
          <t>tile_grout</t>
        </is>
      </c>
      <c r="G378" s="8" t="inlineStr">
        <is>
          <t>yes</t>
        </is>
      </c>
      <c r="H378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78" s="8" t="inlineStr">
        <is>
          <t>Бумажные крафт-мешки по 25 кг.</t>
        </is>
      </c>
      <c r="J378" s="8" t="inlineStr">
        <is>
          <t>2 – 6 кг/м2 в зависимости от ширины швов и формата облицовочного материала.</t>
        </is>
      </c>
      <c r="K378" s="8" t="inlineStr">
        <is>
          <t>В наличии</t>
        </is>
      </c>
      <c r="L378" s="8" t="inlineStr">
        <is>
          <t>https://td-perel.ru/catalog/tsvetnaya-zatirochnaya-smes-perel-rl/mednaya-zatirochnaya-smes-perel-rl-25-kg/</t>
        </is>
      </c>
    </row>
    <row r="379">
      <c r="A379" s="8" t="inlineStr">
        <is>
          <t>Perel</t>
        </is>
      </c>
      <c r="B379" s="8" t="inlineStr">
        <is>
          <t>product</t>
        </is>
      </c>
      <c r="C379" s="8" t="inlineStr">
        <is>
          <t>Светло-коричневая затирочная смесь Perel RL 25 кг</t>
        </is>
      </c>
      <c r="D379" s="8" t="inlineStr">
        <is>
          <t>Perel RL</t>
        </is>
      </c>
      <c r="E379" s="8" t="inlineStr">
        <is>
          <t>светло-коричневый, 25 кг</t>
        </is>
      </c>
      <c r="F379" s="8" t="inlineStr">
        <is>
          <t>tile_grout</t>
        </is>
      </c>
      <c r="G379" s="8" t="inlineStr">
        <is>
          <t>yes</t>
        </is>
      </c>
      <c r="H379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79" s="8" t="inlineStr">
        <is>
          <t>Бумажные крафт-мешки по 25 кг.</t>
        </is>
      </c>
      <c r="J379" s="8" t="inlineStr">
        <is>
          <t>2 – 6 кг/м2 в зависимости от ширины швов и формата облицовочного материала.</t>
        </is>
      </c>
      <c r="K379" s="8" t="inlineStr">
        <is>
          <t>В наличии</t>
        </is>
      </c>
      <c r="L379" s="8" t="inlineStr">
        <is>
          <t>https://td-perel.ru/catalog/tsvetnaya-zatirochnaya-smes-perel-rl/svetlo-korichnevaya-zatirochnaya-smes-perel-rl-25-kg/</t>
        </is>
      </c>
    </row>
    <row r="380">
      <c r="A380" s="8" t="inlineStr">
        <is>
          <t>Perel</t>
        </is>
      </c>
      <c r="B380" s="8" t="inlineStr">
        <is>
          <t>product</t>
        </is>
      </c>
      <c r="C380" s="8" t="inlineStr">
        <is>
          <t>Серая затирочная смесь Perel RL 25 кг</t>
        </is>
      </c>
      <c r="D380" s="8" t="inlineStr">
        <is>
          <t>Perel RL</t>
        </is>
      </c>
      <c r="E380" s="8" t="inlineStr">
        <is>
          <t>серый, 25 кг</t>
        </is>
      </c>
      <c r="F380" s="8" t="inlineStr">
        <is>
          <t>tile_grout</t>
        </is>
      </c>
      <c r="G380" s="8" t="inlineStr">
        <is>
          <t>yes</t>
        </is>
      </c>
      <c r="H380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80" s="8" t="inlineStr">
        <is>
          <t>Бумажные крафт-мешки по 25 кг.</t>
        </is>
      </c>
      <c r="J380" s="8" t="inlineStr">
        <is>
          <t>2 – 6 кг/м2 в зависимости от ширины швов и формата облицовочного материала.</t>
        </is>
      </c>
      <c r="K380" s="8" t="inlineStr">
        <is>
          <t>В наличии</t>
        </is>
      </c>
      <c r="L380" s="8" t="inlineStr">
        <is>
          <t>https://td-perel.ru/catalog/tsvetnaya-zatirochnaya-smes-perel-rl/seraya-zatirochnaya-smes-perel-rl-25-kg/</t>
        </is>
      </c>
    </row>
    <row r="381">
      <c r="A381" s="8" t="inlineStr">
        <is>
          <t>Perel</t>
        </is>
      </c>
      <c r="B381" s="8" t="inlineStr">
        <is>
          <t>product</t>
        </is>
      </c>
      <c r="C381" s="8" t="inlineStr">
        <is>
          <t>Темно-серая затирочная смесь Perel RL 25 кг</t>
        </is>
      </c>
      <c r="D381" s="8" t="inlineStr">
        <is>
          <t>Perel RL</t>
        </is>
      </c>
      <c r="E381" s="8" t="inlineStr">
        <is>
          <t>темно-серый, 25 кг</t>
        </is>
      </c>
      <c r="F381" s="8" t="inlineStr">
        <is>
          <t>tile_grout</t>
        </is>
      </c>
      <c r="G381" s="8" t="inlineStr">
        <is>
          <t>yes</t>
        </is>
      </c>
      <c r="H381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81" s="8" t="inlineStr">
        <is>
          <t>Бумажные крафт-мешки по 25 кг.</t>
        </is>
      </c>
      <c r="J381" s="8" t="inlineStr">
        <is>
          <t>2 – 6 кг/м2 в зависимости от ширины швов и формата облицовочного материала.</t>
        </is>
      </c>
      <c r="K381" s="8" t="inlineStr">
        <is>
          <t>В наличии</t>
        </is>
      </c>
      <c r="L381" s="8" t="inlineStr">
        <is>
          <t>https://td-perel.ru/catalog/tsvetnaya-zatirochnaya-smes-perel-rl/temno-seraya-zatirochnaya-smes-perel-rl-25-kg/</t>
        </is>
      </c>
    </row>
    <row r="382">
      <c r="A382" s="8" t="inlineStr">
        <is>
          <t>Perel</t>
        </is>
      </c>
      <c r="B382" s="8" t="inlineStr">
        <is>
          <t>product</t>
        </is>
      </c>
      <c r="C382" s="8" t="inlineStr">
        <is>
          <t>Черная затирочная смесь Perel RL 25 кг</t>
        </is>
      </c>
      <c r="D382" s="8" t="inlineStr">
        <is>
          <t>Perel RL</t>
        </is>
      </c>
      <c r="E382" s="8" t="inlineStr">
        <is>
          <t>черный, 25 кг</t>
        </is>
      </c>
      <c r="F382" s="8" t="inlineStr">
        <is>
          <t>tile_grout</t>
        </is>
      </c>
      <c r="G382" s="8" t="inlineStr">
        <is>
          <t>yes</t>
        </is>
      </c>
      <c r="H382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82" s="8" t="inlineStr">
        <is>
          <t>Бумажные крафт-мешки по 25 кг.</t>
        </is>
      </c>
      <c r="J382" s="8" t="inlineStr">
        <is>
          <t>2 – 6 кг/м2 в зависимости от ширины швов и формата облицовочного материала.</t>
        </is>
      </c>
      <c r="K382" s="8" t="inlineStr">
        <is>
          <t>В наличии</t>
        </is>
      </c>
      <c r="L382" s="8" t="inlineStr">
        <is>
          <t>https://td-perel.ru/catalog/tsvetnaya-zatirochnaya-smes-perel-rl/chernaya-zatirochnaya-smes-perel-rl-25-kg/</t>
        </is>
      </c>
    </row>
    <row r="383">
      <c r="A383" s="8" t="inlineStr">
        <is>
          <t>Perel</t>
        </is>
      </c>
      <c r="B383" s="8" t="inlineStr">
        <is>
          <t>product</t>
        </is>
      </c>
      <c r="C383" s="8" t="inlineStr">
        <is>
          <t>Шоколадная затирочная смесь Perel RL 25 кг</t>
        </is>
      </c>
      <c r="D383" s="8" t="inlineStr">
        <is>
          <t>Perel RL</t>
        </is>
      </c>
      <c r="E383" s="8" t="inlineStr">
        <is>
          <t>шоколадный, 25 кг</t>
        </is>
      </c>
      <c r="F383" s="8" t="inlineStr">
        <is>
          <t>tile_grout</t>
        </is>
      </c>
      <c r="G383" s="8" t="inlineStr">
        <is>
          <t>yes</t>
        </is>
      </c>
      <c r="H383" s="8" t="inlineStr">
        <is>
          <t>Предназначена для заполнения швов шириной до 30 мм между облицовочными материалами. Подходит для натурального и искусственного камня, облицовочной плитки и термопанелей.</t>
        </is>
      </c>
      <c r="I383" s="8" t="inlineStr">
        <is>
          <t>Бумажные крафт-мешки по 25 кг.</t>
        </is>
      </c>
      <c r="J383" s="8" t="inlineStr">
        <is>
          <t>2 – 6 кг/м2 в зависимости от ширины швов и формата облицовочного материала.</t>
        </is>
      </c>
      <c r="K383" s="8" t="inlineStr">
        <is>
          <t>В наличии</t>
        </is>
      </c>
      <c r="L383" s="8" t="inlineStr">
        <is>
          <t>https://td-perel.ru/catalog/tsvetnaya-zatirochnaya-smes-perel-rl/shokoladnaya-zatirochnaya-smes-perel-rl-25-kg/</t>
        </is>
      </c>
    </row>
    <row r="384">
      <c r="A384" s="8" t="inlineStr">
        <is>
          <t>Perel</t>
        </is>
      </c>
      <c r="B384" s="8" t="inlineStr">
        <is>
          <t>product</t>
        </is>
      </c>
      <c r="C384" s="8" t="inlineStr">
        <is>
          <t>Perel Rinzaffo, супер-белая, 16 кг, готовая финишная шпатлевка</t>
        </is>
      </c>
      <c r="D384" s="8" t="inlineStr">
        <is>
          <t>Perel Rinzaffo</t>
        </is>
      </c>
      <c r="E384" s="8" t="inlineStr">
        <is>
          <t>супер-белая, 16 кг</t>
        </is>
      </c>
      <c r="F384" s="8" t="inlineStr">
        <is>
          <t>putty_ready_paste</t>
        </is>
      </c>
      <c r="G384" s="8" t="inlineStr">
        <is>
          <t>no</t>
        </is>
      </c>
      <c r="H384" s="8" t="inlineStr">
        <is>
          <t>Применяется для идеального финишного выравнивания стен и потолков, заделки трещин и швов ГКЛ или ПГП, а так же подготовки поверхностей под покраску.</t>
        </is>
      </c>
      <c r="I384" s="8" t="inlineStr">
        <is>
          <t>16 кг</t>
        </is>
      </c>
      <c r="J384" s="8" t="inlineStr"/>
      <c r="K384" s="8" t="inlineStr">
        <is>
          <t>В наличии: 10000000000 шт</t>
        </is>
      </c>
      <c r="L384" s="8" t="inlineStr">
        <is>
          <t>https://td-perel.ru/catalog/gotovye_shpaklevki/gotovaya-finishnaya-shpatlevka-perel-rinzaffo-superbelaya-16-kg/</t>
        </is>
      </c>
    </row>
    <row r="385">
      <c r="A385" s="8" t="inlineStr">
        <is>
          <t>Perel</t>
        </is>
      </c>
      <c r="B385" s="8" t="inlineStr">
        <is>
          <t>product</t>
        </is>
      </c>
      <c r="C385" s="8" t="inlineStr">
        <is>
          <t>Perel Robust, 25 кг, цементная штукатурка для ручного нанесения</t>
        </is>
      </c>
      <c r="D385" s="8" t="inlineStr">
        <is>
          <t>Perel Robust</t>
        </is>
      </c>
      <c r="E385" s="8" t="inlineStr">
        <is>
          <t>25 кг</t>
        </is>
      </c>
      <c r="F385" s="8" t="inlineStr">
        <is>
          <t>plaster_cement</t>
        </is>
      </c>
      <c r="G385" s="8" t="inlineStr">
        <is>
          <t>yes</t>
        </is>
      </c>
      <c r="H385" s="8" t="inlineStr">
        <is>
          <t>Штукатурная смесь на основе цементно-известкового вяжущего для выравнивания стен из бетона, кирпича, газобетона, а также заделки стыков и отдельных неровностей бетонных и железобетонных плит для внутренних и наружных работ, в сухих и влажных помещениях.</t>
        </is>
      </c>
      <c r="I385" s="8" t="inlineStr">
        <is>
          <t>Бумажные крафт-мешки по 25 кг.</t>
        </is>
      </c>
      <c r="J385" s="8" t="inlineStr">
        <is>
          <t>15-16 кг/м² при толщине слоя 10 мм.</t>
        </is>
      </c>
      <c r="K385" s="8" t="inlineStr">
        <is>
          <t>В наличии</t>
        </is>
      </c>
      <c r="L385" s="8" t="inlineStr">
        <is>
          <t>https://td-perel.ru/catalog/tsementnaya-shtukaturka/tsementno-izvestkovaya-shtukaturka-perel-robust-25-kg/</t>
        </is>
      </c>
    </row>
    <row r="386">
      <c r="A386" s="8" t="inlineStr">
        <is>
          <t>Perel</t>
        </is>
      </c>
      <c r="B386" s="8" t="inlineStr">
        <is>
          <t>product</t>
        </is>
      </c>
      <c r="C386" s="8" t="inlineStr">
        <is>
          <t>Perel Robust-M, 25 кг, цементная штукатурка для машинного нанесения</t>
        </is>
      </c>
      <c r="D386" s="8" t="inlineStr">
        <is>
          <t>Perel Robust-M</t>
        </is>
      </c>
      <c r="E386" s="8" t="inlineStr">
        <is>
          <t>25 кг</t>
        </is>
      </c>
      <c r="F386" s="8" t="inlineStr">
        <is>
          <t>plaster_cement</t>
        </is>
      </c>
      <c r="G386" s="8" t="inlineStr">
        <is>
          <t>yes</t>
        </is>
      </c>
      <c r="H386" s="8" t="inlineStr">
        <is>
          <t>Штукатурная смесь на основе цементно-известкового вяжущего для выравнивания стен из бетона, кирпича, газобетона, а также заделки стыков и отдельных неровностей бетонных и железобетонных плит для внутренних и наружных работ, в сухих и влажных помещениях.</t>
        </is>
      </c>
      <c r="I386" s="8" t="inlineStr">
        <is>
          <t>Бумажные крафт-мешки по 25 кг.</t>
        </is>
      </c>
      <c r="J386" s="8" t="inlineStr">
        <is>
          <t>15-16 кг/м2 при толщине слоя 10 мм.</t>
        </is>
      </c>
      <c r="K386" s="8" t="inlineStr">
        <is>
          <t>В наличии</t>
        </is>
      </c>
      <c r="L386" s="8" t="inlineStr">
        <is>
          <t>https://td-perel.ru/catalog/tsementnaya-shtukaturka/tsementno-izvestkovaya-shtukaturka-perel-robust-m-25-kg/</t>
        </is>
      </c>
    </row>
    <row r="387">
      <c r="A387" s="8" t="inlineStr">
        <is>
          <t>Perel</t>
        </is>
      </c>
      <c r="B387" s="8" t="inlineStr">
        <is>
          <t>product</t>
        </is>
      </c>
      <c r="C387" s="8" t="inlineStr">
        <is>
          <t>Perel RodStone Адгезив, 25 кг, белый, клей для брусчатки</t>
        </is>
      </c>
      <c r="D387" s="8" t="inlineStr">
        <is>
          <t>Perel RodStone Адгезив</t>
        </is>
      </c>
      <c r="E387" s="8" t="inlineStr">
        <is>
          <t>белый, 25 кг</t>
        </is>
      </c>
      <c r="F387" s="8" t="inlineStr">
        <is>
          <t>paving_mix</t>
        </is>
      </c>
      <c r="G387" s="8" t="inlineStr">
        <is>
          <t>yes</t>
        </is>
      </c>
      <c r="H387" s="8" t="inlineStr">
        <is>
          <t>«RodStone – Адгезив» - специализированная смесь - клеевой раствор, на основе высокопрочного цемента, кварцевого песка и европейских полимерных добавок для укладки и фиксации брусчатки и плит из натурального камня (с рельефной изнаночной стороной) на горизонтальные поверхности, для наружных работ.</t>
        </is>
      </c>
      <c r="I387" s="8" t="inlineStr">
        <is>
          <t>Бумажные крафт-мешки: 25 кг.</t>
        </is>
      </c>
      <c r="J387" s="8" t="inlineStr">
        <is>
          <t>1,3-1,4 кг/м 2 при слое 1 мм, в среднем 5-6 кг/м 2 .</t>
        </is>
      </c>
      <c r="K387" s="8" t="inlineStr">
        <is>
          <t>В наличии</t>
        </is>
      </c>
      <c r="L387" s="8" t="inlineStr">
        <is>
          <t>https://td-perel.ru/catalog/rodstone-adgeziv/perel-rodstone-adgeziv-25-kg-belyy-kley-dlya-bruschatki/</t>
        </is>
      </c>
    </row>
    <row r="388">
      <c r="A388" s="8" t="inlineStr">
        <is>
          <t>Perel</t>
        </is>
      </c>
      <c r="B388" s="8" t="inlineStr">
        <is>
          <t>product</t>
        </is>
      </c>
      <c r="C388" s="8" t="inlineStr">
        <is>
          <t>Perel RodStone Адгезив, 25 кг, серый, клей для брусчатки</t>
        </is>
      </c>
      <c r="D388" s="8" t="inlineStr">
        <is>
          <t>Perel RodStone Адгезив</t>
        </is>
      </c>
      <c r="E388" s="8" t="inlineStr">
        <is>
          <t>серый, 25 кг</t>
        </is>
      </c>
      <c r="F388" s="8" t="inlineStr">
        <is>
          <t>paving_mix</t>
        </is>
      </c>
      <c r="G388" s="8" t="inlineStr">
        <is>
          <t>yes</t>
        </is>
      </c>
      <c r="H388" s="8" t="inlineStr">
        <is>
          <t>«RodStone – Адгезив» - специализированная смесь - клеевой раствор, на основе высокопрочного цемента, кварцевого песка и европейских полимерных добавок для укладки и фиксации брусчатки и плит из натурального камня (с рельефной изнаночной стороной) на горизонтальные поверхности, для наружных работ.</t>
        </is>
      </c>
      <c r="I388" s="8" t="inlineStr">
        <is>
          <t>Бумажные крафт-мешки-25кг.</t>
        </is>
      </c>
      <c r="J388" s="8" t="inlineStr">
        <is>
          <t>1,3-1,4 кг/м 2 при слое 1 мм, в среднем 5-6 кг/м 2 .</t>
        </is>
      </c>
      <c r="K388" s="8" t="inlineStr">
        <is>
          <t>В наличии</t>
        </is>
      </c>
      <c r="L388" s="8" t="inlineStr">
        <is>
          <t>https://td-perel.ru/catalog/rodstone-adgeziv/perel-rodstone-adgeziv-25-kg-seryy-kley-dlya-bruschatki/</t>
        </is>
      </c>
    </row>
    <row r="389">
      <c r="A389" s="8" t="inlineStr">
        <is>
          <t>Perel</t>
        </is>
      </c>
      <c r="B389" s="8" t="inlineStr">
        <is>
          <t>product</t>
        </is>
      </c>
      <c r="C389" s="8" t="inlineStr">
        <is>
          <t>Perel RodStone Основа, 40 кг, дренажный раствор</t>
        </is>
      </c>
      <c r="D389" s="8" t="inlineStr">
        <is>
          <t>Perel RodStone Основа</t>
        </is>
      </c>
      <c r="E389" s="8" t="inlineStr">
        <is>
          <t>серый, 40 кг</t>
        </is>
      </c>
      <c r="F389" s="8" t="inlineStr">
        <is>
          <t>paving_mix</t>
        </is>
      </c>
      <c r="G389" s="8" t="inlineStr">
        <is>
          <t>yes</t>
        </is>
      </c>
      <c r="H389" s="8" t="inlineStr">
        <is>
          <t>Дренажный раствор, на основе цемента и фракционированного кварцевого песка для устройства водопроницаемых слоев для укладки брусчатки и плит из искусственного и натурального камня</t>
        </is>
      </c>
      <c r="I389" s="8" t="inlineStr">
        <is>
          <t>Бумажные крафт-мешки 40кг.</t>
        </is>
      </c>
      <c r="J389" s="8" t="inlineStr">
        <is>
          <t>10-15 кг/м2 при слое 10 мм.</t>
        </is>
      </c>
      <c r="K389" s="8" t="inlineStr">
        <is>
          <t>В наличии</t>
        </is>
      </c>
      <c r="L389" s="8" t="inlineStr">
        <is>
          <t>https://td-perel.ru/catalog/rodstone-osnova/perel-rodstone-osnova-40-kg-drenazhnyy-rastvor/</t>
        </is>
      </c>
    </row>
    <row r="390">
      <c r="A390" s="8" t="inlineStr">
        <is>
          <t>Perel</t>
        </is>
      </c>
      <c r="B390" s="8" t="inlineStr">
        <is>
          <t>product</t>
        </is>
      </c>
      <c r="C390" s="8" t="inlineStr">
        <is>
          <t>Perel RodStone Шов-литой бежевая</t>
        </is>
      </c>
      <c r="D390" s="8" t="inlineStr">
        <is>
          <t>Perel RodStone Шов-литой</t>
        </is>
      </c>
      <c r="E390" s="8" t="inlineStr">
        <is>
          <t>бежевый, 25 кг + компонент С 1 л</t>
        </is>
      </c>
      <c r="F390" s="8" t="inlineStr">
        <is>
          <t>paving_mix</t>
        </is>
      </c>
      <c r="G390" s="8" t="inlineStr">
        <is>
          <t>yes</t>
        </is>
      </c>
      <c r="H390" s="8" t="inlineStr">
        <is>
          <t>специализированный двухкомпонентный самоуплотняющийся, водонепроницаемый, безусадочный раствор на основе портландцемента, кварцевых песков и комплекса полимерных добавок для заполнения швов брусчатки и плит из натурального и искусственного камня. Подходит для любых транспортных нагрузок.</t>
        </is>
      </c>
      <c r="I390" s="8" t="inlineStr">
        <is>
          <t>Компонент А: сухая смесь 25 кг - бумажные крафт-мешки.</t>
        </is>
      </c>
      <c r="J390" s="8" t="inlineStr">
        <is>
          <t>В среднем 5-10 кг/м2 при ширине шва 5 мм.</t>
        </is>
      </c>
      <c r="K390" s="8" t="inlineStr">
        <is>
          <t>В наличии</t>
        </is>
      </c>
      <c r="L390" s="8" t="inlineStr">
        <is>
          <t>https://td-perel.ru/catalog/vodonepronitsaemaya/perel-rodstone-shov-litoy-bejevyi/</t>
        </is>
      </c>
    </row>
    <row r="391">
      <c r="A391" s="8" t="inlineStr">
        <is>
          <t>Perel</t>
        </is>
      </c>
      <c r="B391" s="8" t="inlineStr">
        <is>
          <t>product</t>
        </is>
      </c>
      <c r="C391" s="8" t="inlineStr">
        <is>
          <t>Perel RodStone Шов-литой белый</t>
        </is>
      </c>
      <c r="D391" s="8" t="inlineStr">
        <is>
          <t>Perel RodStone Шов-литой</t>
        </is>
      </c>
      <c r="E391" s="8" t="inlineStr">
        <is>
          <t>белый, 25 кг + компонент С 1 л</t>
        </is>
      </c>
      <c r="F391" s="8" t="inlineStr">
        <is>
          <t>paving_mix</t>
        </is>
      </c>
      <c r="G391" s="8" t="inlineStr">
        <is>
          <t>yes</t>
        </is>
      </c>
      <c r="H391" s="8" t="inlineStr">
        <is>
          <t>специализированный двухкомпонентный самоуплотняющийся, водонепроницаемый, безусадочный раствор на основе портландцемента, кварцевых песков и комплекса полимерных добавок для заполнения швов брусчатки и плит из натурального и искусственного камня. Подходит для любых транспортных нагрузок.</t>
        </is>
      </c>
      <c r="I391" s="8" t="inlineStr">
        <is>
          <t>Компонент А: сухая смесь 25 кг - бумажные крафт-мешки.</t>
        </is>
      </c>
      <c r="J391" s="8" t="inlineStr">
        <is>
          <t>В среднем 5-10 кг/м2 при ширине шва 5 мм.</t>
        </is>
      </c>
      <c r="K391" s="8" t="inlineStr">
        <is>
          <t>В наличии</t>
        </is>
      </c>
      <c r="L391" s="8" t="inlineStr">
        <is>
          <t>https://td-perel.ru/catalog/vodonepronitsaemaya/perel-rodstone-shov-litoy-belyi/</t>
        </is>
      </c>
    </row>
    <row r="392">
      <c r="A392" s="8" t="inlineStr">
        <is>
          <t>Perel</t>
        </is>
      </c>
      <c r="B392" s="8" t="inlineStr">
        <is>
          <t>product</t>
        </is>
      </c>
      <c r="C392" s="8" t="inlineStr">
        <is>
          <t>Perel RodStone Шов-литой коричневый</t>
        </is>
      </c>
      <c r="D392" s="8" t="inlineStr">
        <is>
          <t>Perel RodStone Шов-литой</t>
        </is>
      </c>
      <c r="E392" s="8" t="inlineStr">
        <is>
          <t>коричневый, 25 кг + компонент С 1 л</t>
        </is>
      </c>
      <c r="F392" s="8" t="inlineStr">
        <is>
          <t>paving_mix</t>
        </is>
      </c>
      <c r="G392" s="8" t="inlineStr">
        <is>
          <t>yes</t>
        </is>
      </c>
      <c r="H392" s="8" t="inlineStr">
        <is>
          <t>специализированный двухкомпонентный самоуплотняющийся, водонепроницаемый, безусадочный раствор на основе портландцемента, кварцевых песков и комплекса полимерных добавок для заполнения швов брусчатки и плит из натурального и искусственного камня. Подходит для любых транспортных нагрузок.</t>
        </is>
      </c>
      <c r="I392" s="8" t="inlineStr">
        <is>
          <t>Компонент А: сухая смесь 25 кг - бумажные крафт-мешки.</t>
        </is>
      </c>
      <c r="J392" s="8" t="inlineStr">
        <is>
          <t>В среднем 5-10 кг/м2 при ширине шва 5 мм.</t>
        </is>
      </c>
      <c r="K392" s="8" t="inlineStr">
        <is>
          <t>В наличии</t>
        </is>
      </c>
      <c r="L392" s="8" t="inlineStr">
        <is>
          <t>https://td-perel.ru/catalog/vodonepronitsaemaya/perel-rodstone-shov-litoy-korichevyi/</t>
        </is>
      </c>
    </row>
    <row r="393">
      <c r="A393" s="8" t="inlineStr">
        <is>
          <t>Perel</t>
        </is>
      </c>
      <c r="B393" s="8" t="inlineStr">
        <is>
          <t>product</t>
        </is>
      </c>
      <c r="C393" s="8" t="inlineStr">
        <is>
          <t>Perel RodStone Шов-литой красный</t>
        </is>
      </c>
      <c r="D393" s="8" t="inlineStr">
        <is>
          <t>Perel RodStone Шов-литой</t>
        </is>
      </c>
      <c r="E393" s="8" t="inlineStr">
        <is>
          <t>красный, 25 кг + компонент С 1 л</t>
        </is>
      </c>
      <c r="F393" s="8" t="inlineStr">
        <is>
          <t>paving_mix</t>
        </is>
      </c>
      <c r="G393" s="8" t="inlineStr">
        <is>
          <t>yes</t>
        </is>
      </c>
      <c r="H393" s="8" t="inlineStr">
        <is>
          <t>специализированный двухкомпонентный самоуплотняющийся, водонепроницаемый, безусадочный раствор на основе портландцемента, кварцевых песков и комплекса полимерных добавок для заполнения швов брусчатки и плит из натурального и искусственного камня. Подходит для любых транспортных нагрузок.</t>
        </is>
      </c>
      <c r="I393" s="8" t="inlineStr">
        <is>
          <t>Компонент А: сухая смесь 25 кг - бумажные крафт-мешки.</t>
        </is>
      </c>
      <c r="J393" s="8" t="inlineStr">
        <is>
          <t>В среднем 5-10 кг/м2 при ширине шва 5 мм.</t>
        </is>
      </c>
      <c r="K393" s="8" t="inlineStr">
        <is>
          <t>В наличии</t>
        </is>
      </c>
      <c r="L393" s="8" t="inlineStr">
        <is>
          <t>https://td-perel.ru/catalog/vodonepronitsaemaya/perel-rodstone-shov-litoy-krasnyi/</t>
        </is>
      </c>
    </row>
    <row r="394">
      <c r="A394" s="8" t="inlineStr">
        <is>
          <t>Perel</t>
        </is>
      </c>
      <c r="B394" s="8" t="inlineStr">
        <is>
          <t>product</t>
        </is>
      </c>
      <c r="C394" s="8" t="inlineStr">
        <is>
          <t>Perel RodStone Шов-литой серый</t>
        </is>
      </c>
      <c r="D394" s="8" t="inlineStr">
        <is>
          <t>Perel RodStone Шов-литой</t>
        </is>
      </c>
      <c r="E394" s="8" t="inlineStr">
        <is>
          <t>серый, 25 кг + компонент С 1 л</t>
        </is>
      </c>
      <c r="F394" s="8" t="inlineStr">
        <is>
          <t>paving_mix</t>
        </is>
      </c>
      <c r="G394" s="8" t="inlineStr">
        <is>
          <t>yes</t>
        </is>
      </c>
      <c r="H394" s="8" t="inlineStr">
        <is>
          <t>специализированный двухкомпонентный самоуплотняющийся, водонепроницаемый, безусадочный раствор на основе портландцемента, кварцевых песков и комплекса полимерных добавок для заполнения швов брусчатки и плит из натурального и искусственного камня. Подходит для любых транспортных нагрузок.</t>
        </is>
      </c>
      <c r="I394" s="8" t="inlineStr">
        <is>
          <t>Компонент А: сухая смесь 25 кг - бумажные крафт-мешки.</t>
        </is>
      </c>
      <c r="J394" s="8" t="inlineStr">
        <is>
          <t>В среднем 5-10 кг/м2 при ширине шва 5 мм.</t>
        </is>
      </c>
      <c r="K394" s="8" t="inlineStr">
        <is>
          <t>В наличии</t>
        </is>
      </c>
      <c r="L394" s="8" t="inlineStr">
        <is>
          <t>https://td-perel.ru/catalog/vodonepronitsaemaya/perel-rodstone-shov-litoy-seryi/</t>
        </is>
      </c>
    </row>
    <row r="395">
      <c r="A395" s="8" t="inlineStr">
        <is>
          <t>Perel</t>
        </is>
      </c>
      <c r="B395" s="8" t="inlineStr">
        <is>
          <t>product</t>
        </is>
      </c>
      <c r="C395" s="8" t="inlineStr">
        <is>
          <t>Perel RodStone Шов-литой темно-серый</t>
        </is>
      </c>
      <c r="D395" s="8" t="inlineStr">
        <is>
          <t>Perel RodStone Шов-литой</t>
        </is>
      </c>
      <c r="E395" s="8" t="inlineStr">
        <is>
          <t>темно-серый, 25 кг + компонент С 1 л</t>
        </is>
      </c>
      <c r="F395" s="8" t="inlineStr">
        <is>
          <t>paving_mix</t>
        </is>
      </c>
      <c r="G395" s="8" t="inlineStr">
        <is>
          <t>yes</t>
        </is>
      </c>
      <c r="H395" s="8" t="inlineStr">
        <is>
          <t>специализированный двухкомпонентный самоуплотняющийся, водонепроницаемый, безусадочный раствор на основе портландцемента, кварцевых песков и комплекса полимерных добавок для заполнения швов брусчатки и плит из натурального и искусственного камня. Подходит для любых транспортных нагрузок.</t>
        </is>
      </c>
      <c r="I395" s="8" t="inlineStr">
        <is>
          <t>Компонент А: сухая смесь 25 кг - бумажные крафт-мешки.</t>
        </is>
      </c>
      <c r="J395" s="8" t="inlineStr">
        <is>
          <t>В среднем 5-10 кг/м2 при ширине шва 5 мм.</t>
        </is>
      </c>
      <c r="K395" s="8" t="inlineStr">
        <is>
          <t>В наличии</t>
        </is>
      </c>
      <c r="L395" s="8" t="inlineStr">
        <is>
          <t>https://td-perel.ru/catalog/vodonepronitsaemaya/perel-rodstone-shov-litoy-temno-seryi/</t>
        </is>
      </c>
    </row>
    <row r="396">
      <c r="A396" s="8" t="inlineStr">
        <is>
          <t>Perel</t>
        </is>
      </c>
      <c r="B396" s="8" t="inlineStr">
        <is>
          <t>product</t>
        </is>
      </c>
      <c r="C396" s="8" t="inlineStr">
        <is>
          <t>Perel RodStone Шов-литой черный</t>
        </is>
      </c>
      <c r="D396" s="8" t="inlineStr">
        <is>
          <t>Perel RodStone Шов-литой</t>
        </is>
      </c>
      <c r="E396" s="8" t="inlineStr">
        <is>
          <t>черный, 25 кг + компонент С 1 л</t>
        </is>
      </c>
      <c r="F396" s="8" t="inlineStr">
        <is>
          <t>paving_mix</t>
        </is>
      </c>
      <c r="G396" s="8" t="inlineStr">
        <is>
          <t>yes</t>
        </is>
      </c>
      <c r="H396" s="8" t="inlineStr">
        <is>
          <t>специализированный двухкомпонентный самоуплотняющийся, водонепроницаемый, безусадочный раствор на основе портландцемента, кварцевых песков и комплекса полимерных добавок для заполнения швов брусчатки и плит из натурального и искусственного камня. Подходит для любых транспортных нагрузок.</t>
        </is>
      </c>
      <c r="I396" s="8" t="inlineStr">
        <is>
          <t>Компонент А: сухая смесь 25 кг - бумажные крафт-мешки.</t>
        </is>
      </c>
      <c r="J396" s="8" t="inlineStr">
        <is>
          <t>В среднем 5-10 кг/м2 при ширине шва 5 мм.</t>
        </is>
      </c>
      <c r="K396" s="8" t="inlineStr">
        <is>
          <t>В наличии</t>
        </is>
      </c>
      <c r="L396" s="8" t="inlineStr">
        <is>
          <t>https://td-perel.ru/catalog/vodonepronitsaemaya/perel-rodstone-shov-litoy-chernyi/</t>
        </is>
      </c>
    </row>
    <row r="397">
      <c r="A397" s="8" t="inlineStr">
        <is>
          <t>Perel</t>
        </is>
      </c>
      <c r="B397" s="8" t="inlineStr">
        <is>
          <t>product</t>
        </is>
      </c>
      <c r="C397" s="8" t="inlineStr">
        <is>
          <t>Perel RodStone Шов-литой шоколадный</t>
        </is>
      </c>
      <c r="D397" s="8" t="inlineStr">
        <is>
          <t>Perel RodStone Шов-литой</t>
        </is>
      </c>
      <c r="E397" s="8" t="inlineStr">
        <is>
          <t>шоколадный, 25 кг + компонент С 1 л</t>
        </is>
      </c>
      <c r="F397" s="8" t="inlineStr">
        <is>
          <t>paving_mix</t>
        </is>
      </c>
      <c r="G397" s="8" t="inlineStr">
        <is>
          <t>yes</t>
        </is>
      </c>
      <c r="H397" s="8" t="inlineStr">
        <is>
          <t>специализированный двухкомпонентный самоуплотняющийся, водонепроницаемый, безусадочный раствор на основе портландцемента, кварцевых песков и комплекса полимерных добавок для заполнения швов брусчатки и плит из натурального и искусственного камня. Подходит для любых транспортных нагрузок.</t>
        </is>
      </c>
      <c r="I397" s="8" t="inlineStr">
        <is>
          <t>Компонент А: сухая смесь 25 кг - бумажные крафт-мешки.</t>
        </is>
      </c>
      <c r="J397" s="8" t="inlineStr">
        <is>
          <t>В среднем 5-10 кг/м2 при ширине шва 5 мм.</t>
        </is>
      </c>
      <c r="K397" s="8" t="inlineStr">
        <is>
          <t>В наличии</t>
        </is>
      </c>
      <c r="L397" s="8" t="inlineStr">
        <is>
          <t>https://td-perel.ru/catalog/vodonepronitsaemaya/perel-rodstone-shov-litoy-shokoladnyi/</t>
        </is>
      </c>
    </row>
    <row r="398">
      <c r="A398" s="8" t="inlineStr">
        <is>
          <t>Perel</t>
        </is>
      </c>
      <c r="B398" s="8" t="inlineStr">
        <is>
          <t>product</t>
        </is>
      </c>
      <c r="C398" s="8" t="inlineStr">
        <is>
          <t>Perel RodStone Шов-литой Компонент «C», 1 л</t>
        </is>
      </c>
      <c r="D398" s="8" t="inlineStr">
        <is>
          <t>Perel RodStone Шов-литой Компонент C</t>
        </is>
      </c>
      <c r="E398" s="8" t="inlineStr">
        <is>
          <t>1 л</t>
        </is>
      </c>
      <c r="F398" s="8" t="inlineStr">
        <is>
          <t>additive</t>
        </is>
      </c>
      <c r="G398" s="8" t="inlineStr">
        <is>
          <t>no</t>
        </is>
      </c>
      <c r="H398" s="8" t="inlineStr">
        <is>
          <t>специальный водный раствор ускоряющих добавок для использования совместно с сухой смесью «Шов-литой» при заполнении швов брусчатки.</t>
        </is>
      </c>
      <c r="I398" s="8" t="inlineStr">
        <is>
          <t>Компонент С: 1 литр – пластиковая канистра.</t>
        </is>
      </c>
      <c r="J398" s="8" t="inlineStr">
        <is>
          <t>1 канистра (1 л) на 1 мешок сухой смеси 25 кг.</t>
        </is>
      </c>
      <c r="K398" s="8" t="inlineStr">
        <is>
          <t>В наличии</t>
        </is>
      </c>
      <c r="L398" s="8" t="inlineStr">
        <is>
          <t>https://td-perel.ru/catalog/vodonepronitsaemaya/perel-rodstone-shov-litoy-komponent-c/</t>
        </is>
      </c>
    </row>
    <row r="399">
      <c r="A399" s="8" t="inlineStr">
        <is>
          <t>Perel</t>
        </is>
      </c>
      <c r="B399" s="8" t="inlineStr">
        <is>
          <t>product</t>
        </is>
      </c>
      <c r="C399" s="8" t="inlineStr">
        <is>
          <t>Perel RodStone Шов-фильтр белый</t>
        </is>
      </c>
      <c r="D399" s="8" t="inlineStr">
        <is>
          <t>Perel RodStone Шов-фильтр</t>
        </is>
      </c>
      <c r="E399" s="8" t="inlineStr">
        <is>
          <t>белый, 25 кг + компонент В 1,8 л</t>
        </is>
      </c>
      <c r="F399" s="8" t="inlineStr">
        <is>
          <t>paving_mix</t>
        </is>
      </c>
      <c r="G399" s="8" t="inlineStr">
        <is>
          <t>yes</t>
        </is>
      </c>
      <c r="H399" s="8" t="inlineStr">
        <is>
          <t>специализированный двухкомпонентный водопроницаемый раствор на основе полимерцементного вяжущего вещества и фракционированных кварцевых песков для заполнения швов брусчатки и плит из натурального и искусственного камня. Рекомендуется для лёгких и средних транспортных нагрузок.</t>
        </is>
      </c>
      <c r="I399" s="8" t="inlineStr">
        <is>
          <t>Компонент А: сухая смесь 25 кг - бумажные крафт-мешки.</t>
        </is>
      </c>
      <c r="J399" s="8" t="inlineStr">
        <is>
          <t>В среднем 5-10 кг/м2 при ширине шва 5 мм.</t>
        </is>
      </c>
      <c r="K399" s="8" t="inlineStr">
        <is>
          <t>В наличии</t>
        </is>
      </c>
      <c r="L399" s="8" t="inlineStr">
        <is>
          <t>https://td-perel.ru/catalog/vodopronitsaemaya/perel-rodstone-shov-filtr-belyi/</t>
        </is>
      </c>
    </row>
    <row r="400">
      <c r="A400" s="8" t="inlineStr">
        <is>
          <t>Perel</t>
        </is>
      </c>
      <c r="B400" s="8" t="inlineStr">
        <is>
          <t>product</t>
        </is>
      </c>
      <c r="C400" s="8" t="inlineStr">
        <is>
          <t>Perel RodStone Шов-фильтр серый</t>
        </is>
      </c>
      <c r="D400" s="8" t="inlineStr">
        <is>
          <t>Perel RodStone Шов-фильтр</t>
        </is>
      </c>
      <c r="E400" s="8" t="inlineStr">
        <is>
          <t>серый, 25 кг + компонент В 1,8 л</t>
        </is>
      </c>
      <c r="F400" s="8" t="inlineStr">
        <is>
          <t>paving_mix</t>
        </is>
      </c>
      <c r="G400" s="8" t="inlineStr">
        <is>
          <t>yes</t>
        </is>
      </c>
      <c r="H400" s="8" t="inlineStr">
        <is>
          <t>специализированный двухкомпонентный водопроницаемый раствор на основе полимерцементного вяжущего вещества и фракционированных кварцевых песков для заполнения швов брусчатки и плит из натурального и искусственного камня. Рекомендуется для лёгких и средних транспортных нагрузок.</t>
        </is>
      </c>
      <c r="I400" s="8" t="inlineStr">
        <is>
          <t>Компонент А: сухая смесь 25 кг - бумажные крафт-мешки.</t>
        </is>
      </c>
      <c r="J400" s="8" t="inlineStr">
        <is>
          <t>В среднем 5-10 кг/м2 при ширине шва 5 мм.</t>
        </is>
      </c>
      <c r="K400" s="8" t="inlineStr">
        <is>
          <t>В наличии</t>
        </is>
      </c>
      <c r="L400" s="8" t="inlineStr">
        <is>
          <t>https://td-perel.ru/catalog/vodopronitsaemaya/perel-rodstone-shov-filtr-seryi/</t>
        </is>
      </c>
    </row>
    <row r="401">
      <c r="A401" s="8" t="inlineStr">
        <is>
          <t>Perel</t>
        </is>
      </c>
      <c r="B401" s="8" t="inlineStr">
        <is>
          <t>product</t>
        </is>
      </c>
      <c r="C401" s="8" t="inlineStr">
        <is>
          <t>Perel RodStone Шов-фильтр Компонент «B», 1.8 л</t>
        </is>
      </c>
      <c r="D401" s="8" t="inlineStr">
        <is>
          <t>Perel RodStone Шов-фильтр Компонент B</t>
        </is>
      </c>
      <c r="E401" s="8" t="inlineStr">
        <is>
          <t>1,8 л</t>
        </is>
      </c>
      <c r="F401" s="8" t="inlineStr">
        <is>
          <t>additive</t>
        </is>
      </c>
      <c r="G401" s="8" t="inlineStr">
        <is>
          <t>no</t>
        </is>
      </c>
      <c r="H401" s="8" t="inlineStr">
        <is>
          <t>специальная водная эмульсия полимерного латекса для приготовления раствора с сухой смесью Perel RodStone «Шов-фильтр» при заполнении швов брусчатки. Предназначен для формирования пор и эластичных водостойких связей в затвердевшем растворе.</t>
        </is>
      </c>
      <c r="I401" s="8" t="inlineStr">
        <is>
          <t>Компонент В: 1,8 литра – пластиковое ведро.</t>
        </is>
      </c>
      <c r="J401" s="8" t="inlineStr">
        <is>
          <t>1 ведро (1,8 л) на 1 мешок сухой смеси 25 кг.</t>
        </is>
      </c>
      <c r="K401" s="8" t="inlineStr">
        <is>
          <t>В наличии</t>
        </is>
      </c>
      <c r="L401" s="8" t="inlineStr">
        <is>
          <t>https://td-perel.ru/catalog/vodopronitsaemaya/rodstone-shov-filtr-komponent-b/</t>
        </is>
      </c>
    </row>
    <row r="402">
      <c r="A402" s="8" t="inlineStr">
        <is>
          <t>Perel</t>
        </is>
      </c>
      <c r="B402" s="8" t="inlineStr">
        <is>
          <t>product</t>
        </is>
      </c>
      <c r="C402" s="8" t="inlineStr">
        <is>
          <t>Perel Rof, 18 кг</t>
        </is>
      </c>
      <c r="D402" s="8" t="inlineStr">
        <is>
          <t>Perel Rof</t>
        </is>
      </c>
      <c r="E402" s="8" t="inlineStr">
        <is>
          <t>ведро 18 кг</t>
        </is>
      </c>
      <c r="F402" s="8" t="inlineStr">
        <is>
          <t>primer</t>
        </is>
      </c>
      <c r="G402" s="8" t="inlineStr">
        <is>
          <t>no</t>
        </is>
      </c>
      <c r="H402" s="8" t="inlineStr">
        <is>
          <t>Применяется для предварительной обработки плотных, не впитывающих влагу поверхностей (монолитного бетона, перекрытий, кафельной плитки) перед нанесением отделочных материалов.</t>
        </is>
      </c>
      <c r="I402" s="8" t="inlineStr">
        <is>
          <t>Пластиковая ведро: 18 кг</t>
        </is>
      </c>
      <c r="J402" s="8" t="inlineStr"/>
      <c r="K402" s="8" t="inlineStr">
        <is>
          <t>В наличии</t>
        </is>
      </c>
      <c r="L402" s="8" t="inlineStr">
        <is>
          <t>https://td-perel.ru/catalog/gruntovka/perel-rof-18-kg/</t>
        </is>
      </c>
    </row>
    <row r="403">
      <c r="A403" s="8" t="inlineStr">
        <is>
          <t>Perel</t>
        </is>
      </c>
      <c r="B403" s="8" t="inlineStr">
        <is>
          <t>product</t>
        </is>
      </c>
      <c r="C403" s="8" t="inlineStr">
        <is>
          <t>Perel Rof, 8 кг</t>
        </is>
      </c>
      <c r="D403" s="8" t="inlineStr">
        <is>
          <t>Perel Rof</t>
        </is>
      </c>
      <c r="E403" s="8" t="inlineStr">
        <is>
          <t>ведро 8 кг</t>
        </is>
      </c>
      <c r="F403" s="8" t="inlineStr">
        <is>
          <t>primer</t>
        </is>
      </c>
      <c r="G403" s="8" t="inlineStr">
        <is>
          <t>no</t>
        </is>
      </c>
      <c r="H403" s="8" t="inlineStr">
        <is>
          <t>Применяется для предварительной обработки плотных, не впитывающих влагу поверхностей (монолитного бетона, перекрытий, кафельной плитки) перед нанесением отделочных материалов.</t>
        </is>
      </c>
      <c r="I403" s="8" t="inlineStr">
        <is>
          <t>Пластиковая ведро: 8 кг.</t>
        </is>
      </c>
      <c r="J403" s="8" t="inlineStr"/>
      <c r="K403" s="8" t="inlineStr">
        <is>
          <t>В наличии</t>
        </is>
      </c>
      <c r="L403" s="8" t="inlineStr">
        <is>
          <t>https://td-perel.ru/catalog/gruntovka/perel-rof-8-kg/</t>
        </is>
      </c>
    </row>
    <row r="404">
      <c r="A404" s="8" t="inlineStr">
        <is>
          <t>Perel</t>
        </is>
      </c>
      <c r="B404" s="8" t="inlineStr">
        <is>
          <t>product</t>
        </is>
      </c>
      <c r="C404" s="8" t="inlineStr">
        <is>
          <t>Бежевая кладочная смесь Perel SL 25 кг</t>
        </is>
      </c>
      <c r="D404" s="8" t="inlineStr">
        <is>
          <t>Perel SL</t>
        </is>
      </c>
      <c r="E404" s="8" t="inlineStr">
        <is>
          <t>бежевый, 25 кг</t>
        </is>
      </c>
      <c r="F404" s="8" t="inlineStr">
        <is>
          <t>masonry_colored</t>
        </is>
      </c>
      <c r="G404" s="8" t="inlineStr">
        <is>
          <t>yes</t>
        </is>
      </c>
      <c r="H404" s="8" t="inlineStr">
        <is>
          <t>Цветная смесь Perel SL 0020 для кладки облицовочного кирпича с средним водопоглощением от 5 до 12 % (керамический кирпич и т.п.).</t>
        </is>
      </c>
      <c r="I404" s="8" t="inlineStr">
        <is>
          <t>фасовка 25 кг</t>
        </is>
      </c>
      <c r="J404" s="8" t="inlineStr"/>
      <c r="K404" s="8" t="inlineStr">
        <is>
          <t>В наличии</t>
        </is>
      </c>
      <c r="L404" s="8" t="inlineStr">
        <is>
          <t>https://td-perel.ru/catalog/perel-sl/bezhevaya-kladochnaya-smes-perel-sl-25-kg/</t>
        </is>
      </c>
    </row>
    <row r="405">
      <c r="A405" s="8" t="inlineStr">
        <is>
          <t>Perel</t>
        </is>
      </c>
      <c r="B405" s="8" t="inlineStr">
        <is>
          <t>product</t>
        </is>
      </c>
      <c r="C405" s="8" t="inlineStr">
        <is>
          <t>Бежевая кладочная смесь Perel SL 50 кг</t>
        </is>
      </c>
      <c r="D405" s="8" t="inlineStr">
        <is>
          <t>Perel SL</t>
        </is>
      </c>
      <c r="E405" s="8" t="inlineStr">
        <is>
          <t>бежевый, 50 кг</t>
        </is>
      </c>
      <c r="F405" s="8" t="inlineStr">
        <is>
          <t>masonry_colored</t>
        </is>
      </c>
      <c r="G405" s="8" t="inlineStr">
        <is>
          <t>yes</t>
        </is>
      </c>
      <c r="H405" s="8" t="inlineStr">
        <is>
          <t>Цветная смесь Perel SL 0020 для кладки облицовочного кирпича с средним водопоглощением от 5 до 12 % (керамический кирпич и т.п.).</t>
        </is>
      </c>
      <c r="I405" s="8" t="inlineStr">
        <is>
          <t>фасовка 50 кг</t>
        </is>
      </c>
      <c r="J405" s="8" t="inlineStr"/>
      <c r="K405" s="8" t="inlineStr">
        <is>
          <t>В наличии</t>
        </is>
      </c>
      <c r="L405" s="8" t="inlineStr">
        <is>
          <t>https://td-perel.ru/catalog/perel-sl/bezhevaya-kladochnaya-smes-perel-sl-50-kg/</t>
        </is>
      </c>
    </row>
    <row r="406">
      <c r="A406" s="8" t="inlineStr">
        <is>
          <t>Perel</t>
        </is>
      </c>
      <c r="B406" s="8" t="inlineStr">
        <is>
          <t>product</t>
        </is>
      </c>
      <c r="C406" s="8" t="inlineStr">
        <is>
          <t>Белая кладочная смесь Perel SL 0005, 25 кг</t>
        </is>
      </c>
      <c r="D406" s="8" t="inlineStr">
        <is>
          <t>Perel SL</t>
        </is>
      </c>
      <c r="E406" s="8" t="inlineStr">
        <is>
          <t>белый, 25 кг</t>
        </is>
      </c>
      <c r="F406" s="8" t="inlineStr">
        <is>
          <t>masonry_colored</t>
        </is>
      </c>
      <c r="G406" s="8" t="inlineStr">
        <is>
          <t>yes</t>
        </is>
      </c>
      <c r="H406" s="8" t="inlineStr">
        <is>
          <t>Цветная смесь Perel SL 0005 для кладки облицовочного кирпича с средним водопоглощением от 5 до 12 % (керамический кирпич и т.п.).</t>
        </is>
      </c>
      <c r="I406" s="8" t="inlineStr">
        <is>
          <t>фасовка 25 кг</t>
        </is>
      </c>
      <c r="J406" s="8" t="inlineStr"/>
      <c r="K406" s="8" t="inlineStr">
        <is>
          <t>В наличии</t>
        </is>
      </c>
      <c r="L406" s="8" t="inlineStr">
        <is>
          <t>https://td-perel.ru/catalog/perel-sl/belaya-kladochnaya-smes-perel-sl-25-kg/</t>
        </is>
      </c>
    </row>
    <row r="407">
      <c r="A407" s="8" t="inlineStr">
        <is>
          <t>Perel</t>
        </is>
      </c>
      <c r="B407" s="8" t="inlineStr">
        <is>
          <t>product</t>
        </is>
      </c>
      <c r="C407" s="8" t="inlineStr">
        <is>
          <t>Белая кладочная смесь Perel SL 0005, 50 кг</t>
        </is>
      </c>
      <c r="D407" s="8" t="inlineStr">
        <is>
          <t>Perel SL</t>
        </is>
      </c>
      <c r="E407" s="8" t="inlineStr">
        <is>
          <t>белый, 50 кг</t>
        </is>
      </c>
      <c r="F407" s="8" t="inlineStr">
        <is>
          <t>masonry_colored</t>
        </is>
      </c>
      <c r="G407" s="8" t="inlineStr">
        <is>
          <t>yes</t>
        </is>
      </c>
      <c r="H407" s="8" t="inlineStr">
        <is>
          <t>Цветная смесь Perel SL 0005 для кладки облицовочного кирпича с средним водопоглощением от 5 до 12 % (керамический кирпич и т.п.).</t>
        </is>
      </c>
      <c r="I407" s="8" t="inlineStr">
        <is>
          <t>фасовка 50 кг</t>
        </is>
      </c>
      <c r="J407" s="8" t="inlineStr"/>
      <c r="K407" s="8" t="inlineStr">
        <is>
          <t>В наличии</t>
        </is>
      </c>
      <c r="L407" s="8" t="inlineStr">
        <is>
          <t>https://td-perel.ru/catalog/perel-sl/belaya-kladochnaya-smes-perel-sl-50-kg/</t>
        </is>
      </c>
    </row>
    <row r="408">
      <c r="A408" s="8" t="inlineStr">
        <is>
          <t>Perel</t>
        </is>
      </c>
      <c r="B408" s="8" t="inlineStr">
        <is>
          <t>product</t>
        </is>
      </c>
      <c r="C408" s="8" t="inlineStr">
        <is>
          <t>Желтая кладочная смесь Perel SL 25 кг</t>
        </is>
      </c>
      <c r="D408" s="8" t="inlineStr">
        <is>
          <t>Perel SL</t>
        </is>
      </c>
      <c r="E408" s="8" t="inlineStr">
        <is>
          <t>желтый, 25 кг</t>
        </is>
      </c>
      <c r="F408" s="8" t="inlineStr">
        <is>
          <t>masonry_colored</t>
        </is>
      </c>
      <c r="G408" s="8" t="inlineStr">
        <is>
          <t>yes</t>
        </is>
      </c>
      <c r="H408" s="8" t="inlineStr">
        <is>
          <t>Цветная смесь Perel SL 0035 для кладки облицовочного кирпича с средним водопоглощением от 5 до 12 % (керамический кирпич и т.п.).</t>
        </is>
      </c>
      <c r="I408" s="8" t="inlineStr">
        <is>
          <t>фасовка 25 кг</t>
        </is>
      </c>
      <c r="J408" s="8" t="inlineStr"/>
      <c r="K408" s="8" t="inlineStr">
        <is>
          <t>В наличии</t>
        </is>
      </c>
      <c r="L408" s="8" t="inlineStr">
        <is>
          <t>https://td-perel.ru/catalog/perel-sl/zheltaya-kladochnaya-smes-perel-sl-25-kg/</t>
        </is>
      </c>
    </row>
    <row r="409">
      <c r="A409" s="8" t="inlineStr">
        <is>
          <t>Perel</t>
        </is>
      </c>
      <c r="B409" s="8" t="inlineStr">
        <is>
          <t>product</t>
        </is>
      </c>
      <c r="C409" s="8" t="inlineStr">
        <is>
          <t>Желтая кладочная смесь Perel SL 50 кг</t>
        </is>
      </c>
      <c r="D409" s="8" t="inlineStr">
        <is>
          <t>Perel SL</t>
        </is>
      </c>
      <c r="E409" s="8" t="inlineStr">
        <is>
          <t>желтый, 50 кг</t>
        </is>
      </c>
      <c r="F409" s="8" t="inlineStr">
        <is>
          <t>masonry_colored</t>
        </is>
      </c>
      <c r="G409" s="8" t="inlineStr">
        <is>
          <t>yes</t>
        </is>
      </c>
      <c r="H409" s="8" t="inlineStr">
        <is>
          <t>Цветная смесь Perel SL 0035 для кладки облицовочного кирпича с средним водопоглощением от 5 до 12 % (керамический кирпич и т.п.).</t>
        </is>
      </c>
      <c r="I409" s="8" t="inlineStr">
        <is>
          <t>фасовка 50 кг</t>
        </is>
      </c>
      <c r="J409" s="8" t="inlineStr"/>
      <c r="K409" s="8" t="inlineStr">
        <is>
          <t>В наличии</t>
        </is>
      </c>
      <c r="L409" s="8" t="inlineStr">
        <is>
          <t>https://td-perel.ru/catalog/perel-sl/zheltaya-kladochnaya-smes-perel-sl-50-kg/</t>
        </is>
      </c>
    </row>
    <row r="410">
      <c r="A410" s="8" t="inlineStr">
        <is>
          <t>Perel</t>
        </is>
      </c>
      <c r="B410" s="8" t="inlineStr">
        <is>
          <t>product</t>
        </is>
      </c>
      <c r="C410" s="8" t="inlineStr">
        <is>
          <t>Коричневая кладочная смесь Perel SL 25 кг</t>
        </is>
      </c>
      <c r="D410" s="8" t="inlineStr">
        <is>
          <t>Perel SL</t>
        </is>
      </c>
      <c r="E410" s="8" t="inlineStr">
        <is>
          <t>коричневый, 25 кг</t>
        </is>
      </c>
      <c r="F410" s="8" t="inlineStr">
        <is>
          <t>masonry_colored</t>
        </is>
      </c>
      <c r="G410" s="8" t="inlineStr">
        <is>
          <t>yes</t>
        </is>
      </c>
      <c r="H410" s="8" t="inlineStr">
        <is>
          <t>Цветная смесь Perel SL 0050 для кладки облицовочного кирпича с средним водопоглощением от 5 до 12 % (керамический кирпич и т.п.).</t>
        </is>
      </c>
      <c r="I410" s="8" t="inlineStr">
        <is>
          <t>фасовка 25 кг</t>
        </is>
      </c>
      <c r="J410" s="8" t="inlineStr"/>
      <c r="K410" s="8" t="inlineStr">
        <is>
          <t>В наличии</t>
        </is>
      </c>
      <c r="L410" s="8" t="inlineStr">
        <is>
          <t>https://td-perel.ru/catalog/perel-sl/korichnevaya-kladochnaya-smes-perel-sl-25-kg/</t>
        </is>
      </c>
    </row>
    <row r="411">
      <c r="A411" s="8" t="inlineStr">
        <is>
          <t>Perel</t>
        </is>
      </c>
      <c r="B411" s="8" t="inlineStr">
        <is>
          <t>product</t>
        </is>
      </c>
      <c r="C411" s="8" t="inlineStr">
        <is>
          <t>Коричневая кладочная смесь Perel SL 50 кг</t>
        </is>
      </c>
      <c r="D411" s="8" t="inlineStr">
        <is>
          <t>Perel SL</t>
        </is>
      </c>
      <c r="E411" s="8" t="inlineStr">
        <is>
          <t>коричневый, 50 кг</t>
        </is>
      </c>
      <c r="F411" s="8" t="inlineStr">
        <is>
          <t>masonry_colored</t>
        </is>
      </c>
      <c r="G411" s="8" t="inlineStr">
        <is>
          <t>yes</t>
        </is>
      </c>
      <c r="H411" s="8" t="inlineStr">
        <is>
          <t>Цветная смесь Perel SL 0050 для кладки облицовочного кирпича с средним водопоглощением от 5 до 12 % (керамический кирпич и т.п.).</t>
        </is>
      </c>
      <c r="I411" s="8" t="inlineStr">
        <is>
          <t>фасовка 50 кг</t>
        </is>
      </c>
      <c r="J411" s="8" t="inlineStr"/>
      <c r="K411" s="8" t="inlineStr">
        <is>
          <t>В наличии</t>
        </is>
      </c>
      <c r="L411" s="8" t="inlineStr">
        <is>
          <t>https://td-perel.ru/catalog/perel-sl/korichnevaya-kladochnaya-smes-perel-sl-50-kg/</t>
        </is>
      </c>
    </row>
    <row r="412">
      <c r="A412" s="8" t="inlineStr">
        <is>
          <t>Perel</t>
        </is>
      </c>
      <c r="B412" s="8" t="inlineStr">
        <is>
          <t>product</t>
        </is>
      </c>
      <c r="C412" s="8" t="inlineStr">
        <is>
          <t>Красная кладочная смесь Perel SL 25 кг</t>
        </is>
      </c>
      <c r="D412" s="8" t="inlineStr">
        <is>
          <t>Perel SL</t>
        </is>
      </c>
      <c r="E412" s="8" t="inlineStr">
        <is>
          <t>красный, 25 кг</t>
        </is>
      </c>
      <c r="F412" s="8" t="inlineStr">
        <is>
          <t>masonry_colored</t>
        </is>
      </c>
      <c r="G412" s="8" t="inlineStr">
        <is>
          <t>yes</t>
        </is>
      </c>
      <c r="H412" s="8" t="inlineStr">
        <is>
          <t>Цветная смесь Perel SL 0060 для кладки облицовочного кирпича с средним водопоглощением от 5 до 12 % (керамический кирпич и т.п.).</t>
        </is>
      </c>
      <c r="I412" s="8" t="inlineStr">
        <is>
          <t>фасовка 25 кг</t>
        </is>
      </c>
      <c r="J412" s="8" t="inlineStr"/>
      <c r="K412" s="8" t="inlineStr">
        <is>
          <t>В наличии</t>
        </is>
      </c>
      <c r="L412" s="8" t="inlineStr">
        <is>
          <t>https://td-perel.ru/catalog/perel-sl/krasnaya-kladochnaya-smes-perel-sl-25-kg/</t>
        </is>
      </c>
    </row>
    <row r="413">
      <c r="A413" s="8" t="inlineStr">
        <is>
          <t>Perel</t>
        </is>
      </c>
      <c r="B413" s="8" t="inlineStr">
        <is>
          <t>product</t>
        </is>
      </c>
      <c r="C413" s="8" t="inlineStr">
        <is>
          <t>Красная кладочная смесь Perel SL 50 кг</t>
        </is>
      </c>
      <c r="D413" s="8" t="inlineStr">
        <is>
          <t>Perel SL</t>
        </is>
      </c>
      <c r="E413" s="8" t="inlineStr">
        <is>
          <t>красный, 50 кг</t>
        </is>
      </c>
      <c r="F413" s="8" t="inlineStr">
        <is>
          <t>masonry_colored</t>
        </is>
      </c>
      <c r="G413" s="8" t="inlineStr">
        <is>
          <t>yes</t>
        </is>
      </c>
      <c r="H413" s="8" t="inlineStr">
        <is>
          <t>Цветная смесь Perel SL 0060 для кладки облицовочного кирпича с средним водопоглощением от 5 до 12 % (керамический кирпич и т.п.).</t>
        </is>
      </c>
      <c r="I413" s="8" t="inlineStr">
        <is>
          <t>фасовка 50 кг</t>
        </is>
      </c>
      <c r="J413" s="8" t="inlineStr"/>
      <c r="K413" s="8" t="inlineStr">
        <is>
          <t>В наличии</t>
        </is>
      </c>
      <c r="L413" s="8" t="inlineStr">
        <is>
          <t>https://td-perel.ru/catalog/perel-sl/krasnaya-kladochnaya-smes-perel-sl-50-kg/</t>
        </is>
      </c>
    </row>
    <row r="414">
      <c r="A414" s="8" t="inlineStr">
        <is>
          <t>Perel</t>
        </is>
      </c>
      <c r="B414" s="8" t="inlineStr">
        <is>
          <t>product</t>
        </is>
      </c>
      <c r="C414" s="8" t="inlineStr">
        <is>
          <t>Кремово-бежевая кладочная смесь Perel SL 25 кг</t>
        </is>
      </c>
      <c r="D414" s="8" t="inlineStr">
        <is>
          <t>Perel SL</t>
        </is>
      </c>
      <c r="E414" s="8" t="inlineStr">
        <is>
          <t>кремово-бежевый, 25 кг</t>
        </is>
      </c>
      <c r="F414" s="8" t="inlineStr">
        <is>
          <t>masonry_colored</t>
        </is>
      </c>
      <c r="G414" s="8" t="inlineStr">
        <is>
          <t>yes</t>
        </is>
      </c>
      <c r="H414" s="8" t="inlineStr">
        <is>
          <t>Цветная смесь Perel SL 0025 для кладки облицовочного кирпича с средним водопоглощением от 5 до 12 % (керамический кирпич и т.п.).</t>
        </is>
      </c>
      <c r="I414" s="8" t="inlineStr">
        <is>
          <t>фасовка 25 кг</t>
        </is>
      </c>
      <c r="J414" s="8" t="inlineStr"/>
      <c r="K414" s="8" t="inlineStr">
        <is>
          <t>В наличии</t>
        </is>
      </c>
      <c r="L414" s="8" t="inlineStr">
        <is>
          <t>https://td-perel.ru/catalog/perel-sl/kremovo-bezhevaya-kladochnaya-smes-perel-sl-25-kg/</t>
        </is>
      </c>
    </row>
    <row r="415">
      <c r="A415" s="8" t="inlineStr">
        <is>
          <t>Perel</t>
        </is>
      </c>
      <c r="B415" s="8" t="inlineStr">
        <is>
          <t>product</t>
        </is>
      </c>
      <c r="C415" s="8" t="inlineStr">
        <is>
          <t>Кремово-бежевая кладочная смесь Perel SL 50 кг</t>
        </is>
      </c>
      <c r="D415" s="8" t="inlineStr">
        <is>
          <t>Perel SL</t>
        </is>
      </c>
      <c r="E415" s="8" t="inlineStr">
        <is>
          <t>кремово-бежевый, 50 кг</t>
        </is>
      </c>
      <c r="F415" s="8" t="inlineStr">
        <is>
          <t>masonry_colored</t>
        </is>
      </c>
      <c r="G415" s="8" t="inlineStr">
        <is>
          <t>yes</t>
        </is>
      </c>
      <c r="H415" s="8" t="inlineStr">
        <is>
          <t>Цветная смесь Perel SL 0025 для кладки облицовочного кирпича с средним водопоглощением от 5 до 12 % (керамический кирпич и т.п.).</t>
        </is>
      </c>
      <c r="I415" s="8" t="inlineStr">
        <is>
          <t>фасовка 50 кг</t>
        </is>
      </c>
      <c r="J415" s="8" t="inlineStr"/>
      <c r="K415" s="8" t="inlineStr">
        <is>
          <t>В наличии</t>
        </is>
      </c>
      <c r="L415" s="8" t="inlineStr">
        <is>
          <t>https://td-perel.ru/catalog/perel-sl/kremovo-bezhevaya-kladochnaya-smes-perel-sl-50-kg/</t>
        </is>
      </c>
    </row>
    <row r="416">
      <c r="A416" s="8" t="inlineStr">
        <is>
          <t>Perel</t>
        </is>
      </c>
      <c r="B416" s="8" t="inlineStr">
        <is>
          <t>product</t>
        </is>
      </c>
      <c r="C416" s="8" t="inlineStr">
        <is>
          <t>Кремово-желтая кладочная смесь Perel SL 25 кг</t>
        </is>
      </c>
      <c r="D416" s="8" t="inlineStr">
        <is>
          <t>Perel SL</t>
        </is>
      </c>
      <c r="E416" s="8" t="inlineStr">
        <is>
          <t>кремово-желтый, 25 кг</t>
        </is>
      </c>
      <c r="F416" s="8" t="inlineStr">
        <is>
          <t>masonry_colored</t>
        </is>
      </c>
      <c r="G416" s="8" t="inlineStr">
        <is>
          <t>yes</t>
        </is>
      </c>
      <c r="H416" s="8" t="inlineStr">
        <is>
          <t>Цветная смесь Perel SL 0030 для кладки облицовочного кирпича с средним водопоглощением от 5 до 12 % (керамический кирпич и т.п.).</t>
        </is>
      </c>
      <c r="I416" s="8" t="inlineStr">
        <is>
          <t>фасовка 25 кг</t>
        </is>
      </c>
      <c r="J416" s="8" t="inlineStr"/>
      <c r="K416" s="8" t="inlineStr">
        <is>
          <t>В наличии</t>
        </is>
      </c>
      <c r="L416" s="8" t="inlineStr">
        <is>
          <t>https://td-perel.ru/catalog/perel-sl/kremovo-zheltaya-kladochnaya-smes-perel-sl-25-kg/</t>
        </is>
      </c>
    </row>
    <row r="417">
      <c r="A417" s="8" t="inlineStr">
        <is>
          <t>Perel</t>
        </is>
      </c>
      <c r="B417" s="8" t="inlineStr">
        <is>
          <t>product</t>
        </is>
      </c>
      <c r="C417" s="8" t="inlineStr">
        <is>
          <t>Кремово-желтая кладочная смесь Perel SL 50 кг</t>
        </is>
      </c>
      <c r="D417" s="8" t="inlineStr">
        <is>
          <t>Perel SL</t>
        </is>
      </c>
      <c r="E417" s="8" t="inlineStr">
        <is>
          <t>кремово-желтый, 50 кг</t>
        </is>
      </c>
      <c r="F417" s="8" t="inlineStr">
        <is>
          <t>masonry_colored</t>
        </is>
      </c>
      <c r="G417" s="8" t="inlineStr">
        <is>
          <t>yes</t>
        </is>
      </c>
      <c r="H417" s="8" t="inlineStr">
        <is>
          <t>Цветная смесь Perel SL 0030 для кладки облицовочного кирпича с средним водопоглощением от 5 до 12 % (керамический кирпич и т.п.).</t>
        </is>
      </c>
      <c r="I417" s="8" t="inlineStr">
        <is>
          <t>фасовка 50 кг</t>
        </is>
      </c>
      <c r="J417" s="8" t="inlineStr"/>
      <c r="K417" s="8" t="inlineStr">
        <is>
          <t>В наличии</t>
        </is>
      </c>
      <c r="L417" s="8" t="inlineStr">
        <is>
          <t>https://td-perel.ru/catalog/perel-sl/kremovo-zheltaya-kladochnaya-smes-perel-sl-50-kg/</t>
        </is>
      </c>
    </row>
    <row r="418">
      <c r="A418" s="8" t="inlineStr">
        <is>
          <t>Perel</t>
        </is>
      </c>
      <c r="B418" s="8" t="inlineStr">
        <is>
          <t>product</t>
        </is>
      </c>
      <c r="C418" s="8" t="inlineStr">
        <is>
          <t>Кремовая кладочная смесь Perel SL 25 кг</t>
        </is>
      </c>
      <c r="D418" s="8" t="inlineStr">
        <is>
          <t>Perel SL</t>
        </is>
      </c>
      <c r="E418" s="8" t="inlineStr">
        <is>
          <t>кремовый, 25 кг</t>
        </is>
      </c>
      <c r="F418" s="8" t="inlineStr">
        <is>
          <t>masonry_colored</t>
        </is>
      </c>
      <c r="G418" s="8" t="inlineStr">
        <is>
          <t>yes</t>
        </is>
      </c>
      <c r="H418" s="8" t="inlineStr">
        <is>
          <t>Цветная смесь Perel SL 0040 для кладки облицовочного кирпича с средним водопоглощением от 5 до 12 % (керамический кирпич и т.п.).</t>
        </is>
      </c>
      <c r="I418" s="8" t="inlineStr">
        <is>
          <t>фасовка 25 кг</t>
        </is>
      </c>
      <c r="J418" s="8" t="inlineStr"/>
      <c r="K418" s="8" t="inlineStr">
        <is>
          <t>В наличии</t>
        </is>
      </c>
      <c r="L418" s="8" t="inlineStr">
        <is>
          <t>https://td-perel.ru/catalog/perel-sl/kremovaya-kladochnaya-smes-perel-sl-25-kg/</t>
        </is>
      </c>
    </row>
    <row r="419">
      <c r="A419" s="8" t="inlineStr">
        <is>
          <t>Perel</t>
        </is>
      </c>
      <c r="B419" s="8" t="inlineStr">
        <is>
          <t>product</t>
        </is>
      </c>
      <c r="C419" s="8" t="inlineStr">
        <is>
          <t>Кремовая кладочная смесь Perel SL 50 кг</t>
        </is>
      </c>
      <c r="D419" s="8" t="inlineStr">
        <is>
          <t>Perel SL</t>
        </is>
      </c>
      <c r="E419" s="8" t="inlineStr">
        <is>
          <t>кремовый, 50 кг</t>
        </is>
      </c>
      <c r="F419" s="8" t="inlineStr">
        <is>
          <t>masonry_colored</t>
        </is>
      </c>
      <c r="G419" s="8" t="inlineStr">
        <is>
          <t>yes</t>
        </is>
      </c>
      <c r="H419" s="8" t="inlineStr">
        <is>
          <t>Цветная смесь Perel SL 0040 для кладки облицовочного кирпича с средним водопоглощением от 5 до 12 % (керамический кирпич и т.п.).</t>
        </is>
      </c>
      <c r="I419" s="8" t="inlineStr">
        <is>
          <t>фасовка 50 кг</t>
        </is>
      </c>
      <c r="J419" s="8" t="inlineStr"/>
      <c r="K419" s="8" t="inlineStr">
        <is>
          <t>В наличии</t>
        </is>
      </c>
      <c r="L419" s="8" t="inlineStr">
        <is>
          <t>https://td-perel.ru/catalog/perel-sl/kremovaya-kladochnaya-smes-perel-sl-50-kg/</t>
        </is>
      </c>
    </row>
    <row r="420">
      <c r="A420" s="8" t="inlineStr">
        <is>
          <t>Perel</t>
        </is>
      </c>
      <c r="B420" s="8" t="inlineStr">
        <is>
          <t>product</t>
        </is>
      </c>
      <c r="C420" s="8" t="inlineStr">
        <is>
          <t>Светло-коричневая кладочная смесь Perel SL 25 кг</t>
        </is>
      </c>
      <c r="D420" s="8" t="inlineStr">
        <is>
          <t>Perel SL</t>
        </is>
      </c>
      <c r="E420" s="8" t="inlineStr">
        <is>
          <t>светло-коричневый, 25 кг</t>
        </is>
      </c>
      <c r="F420" s="8" t="inlineStr">
        <is>
          <t>masonry_colored</t>
        </is>
      </c>
      <c r="G420" s="8" t="inlineStr">
        <is>
          <t>yes</t>
        </is>
      </c>
      <c r="H420" s="8" t="inlineStr">
        <is>
          <t>Цветная смесь Perel SL 0045 для кладки облицовочного кирпича с средним водопоглощением от 5 до 12 % (керамический кирпич и т.п.).</t>
        </is>
      </c>
      <c r="I420" s="8" t="inlineStr">
        <is>
          <t>фасовка 25 кг</t>
        </is>
      </c>
      <c r="J420" s="8" t="inlineStr"/>
      <c r="K420" s="8" t="inlineStr">
        <is>
          <t>В наличии</t>
        </is>
      </c>
      <c r="L420" s="8" t="inlineStr">
        <is>
          <t>https://td-perel.ru/catalog/perel-sl/svetlo-korichnevaya-kladochnaya-smes-perel-sl-25-kg/</t>
        </is>
      </c>
    </row>
    <row r="421">
      <c r="A421" s="8" t="inlineStr">
        <is>
          <t>Perel</t>
        </is>
      </c>
      <c r="B421" s="8" t="inlineStr">
        <is>
          <t>product</t>
        </is>
      </c>
      <c r="C421" s="8" t="inlineStr">
        <is>
          <t>Светло-коричневая кладочная смесь Perel SL 50 кг</t>
        </is>
      </c>
      <c r="D421" s="8" t="inlineStr">
        <is>
          <t>Perel SL</t>
        </is>
      </c>
      <c r="E421" s="8" t="inlineStr">
        <is>
          <t>светло-коричневый, 50 кг</t>
        </is>
      </c>
      <c r="F421" s="8" t="inlineStr">
        <is>
          <t>masonry_colored</t>
        </is>
      </c>
      <c r="G421" s="8" t="inlineStr">
        <is>
          <t>yes</t>
        </is>
      </c>
      <c r="H421" s="8" t="inlineStr">
        <is>
          <t>Цветная смесь Perel SL 0045 для кладки облицовочного кирпича с средним водопоглощением от 5 до 12 % (керамический кирпич и т.п.).</t>
        </is>
      </c>
      <c r="I421" s="8" t="inlineStr">
        <is>
          <t>фасовка 50 кг</t>
        </is>
      </c>
      <c r="J421" s="8" t="inlineStr"/>
      <c r="K421" s="8" t="inlineStr">
        <is>
          <t>В наличии</t>
        </is>
      </c>
      <c r="L421" s="8" t="inlineStr">
        <is>
          <t>https://td-perel.ru/catalog/perel-sl/svetlo-korichnevaya-kladochnaya-smes-perel-sl-50-kg/</t>
        </is>
      </c>
    </row>
    <row r="422">
      <c r="A422" s="8" t="inlineStr">
        <is>
          <t>Perel</t>
        </is>
      </c>
      <c r="B422" s="8" t="inlineStr">
        <is>
          <t>product</t>
        </is>
      </c>
      <c r="C422" s="8" t="inlineStr">
        <is>
          <t>Серая кладочная смесь Perel SL 25 кг</t>
        </is>
      </c>
      <c r="D422" s="8" t="inlineStr">
        <is>
          <t>Perel SL</t>
        </is>
      </c>
      <c r="E422" s="8" t="inlineStr">
        <is>
          <t>серый, 25 кг</t>
        </is>
      </c>
      <c r="F422" s="8" t="inlineStr">
        <is>
          <t>masonry_colored</t>
        </is>
      </c>
      <c r="G422" s="8" t="inlineStr">
        <is>
          <t>yes</t>
        </is>
      </c>
      <c r="H422" s="8" t="inlineStr">
        <is>
          <t>Цветная смесь Perel SL 0010 для кладки облицовочного кирпича с средним водопоглощением от 5 до 12 % (керамический кирпич и т.п.).</t>
        </is>
      </c>
      <c r="I422" s="8" t="inlineStr">
        <is>
          <t>фасовка 25 кг</t>
        </is>
      </c>
      <c r="J422" s="8" t="inlineStr"/>
      <c r="K422" s="8" t="inlineStr">
        <is>
          <t>В наличии</t>
        </is>
      </c>
      <c r="L422" s="8" t="inlineStr">
        <is>
          <t>https://td-perel.ru/catalog/perel-sl/seraya-kladochnaya-smes-perel-sl-25-kg/</t>
        </is>
      </c>
    </row>
    <row r="423">
      <c r="A423" s="8" t="inlineStr">
        <is>
          <t>Perel</t>
        </is>
      </c>
      <c r="B423" s="8" t="inlineStr">
        <is>
          <t>product</t>
        </is>
      </c>
      <c r="C423" s="8" t="inlineStr">
        <is>
          <t>Серая кладочная смесь Perel SL 50 кг</t>
        </is>
      </c>
      <c r="D423" s="8" t="inlineStr">
        <is>
          <t>Perel SL</t>
        </is>
      </c>
      <c r="E423" s="8" t="inlineStr">
        <is>
          <t>серый, 50 кг</t>
        </is>
      </c>
      <c r="F423" s="8" t="inlineStr">
        <is>
          <t>masonry_colored</t>
        </is>
      </c>
      <c r="G423" s="8" t="inlineStr">
        <is>
          <t>yes</t>
        </is>
      </c>
      <c r="H423" s="8" t="inlineStr">
        <is>
          <t>Цветная смесь Perel SL 0010 для кладки облицовочного кирпича с средним водопоглощением от 5 до 12 % (керамический кирпич и т.п.).</t>
        </is>
      </c>
      <c r="I423" s="8" t="inlineStr">
        <is>
          <t>фасовка 50 кг</t>
        </is>
      </c>
      <c r="J423" s="8" t="inlineStr"/>
      <c r="K423" s="8" t="inlineStr">
        <is>
          <t>В наличии</t>
        </is>
      </c>
      <c r="L423" s="8" t="inlineStr">
        <is>
          <t>https://td-perel.ru/catalog/perel-sl/seraya-kladochnaya-smes-perel-sl-50-kg/</t>
        </is>
      </c>
    </row>
    <row r="424">
      <c r="A424" s="8" t="inlineStr">
        <is>
          <t>Perel</t>
        </is>
      </c>
      <c r="B424" s="8" t="inlineStr">
        <is>
          <t>product</t>
        </is>
      </c>
      <c r="C424" s="8" t="inlineStr">
        <is>
          <t>Супер-белая кладочная смесь Perel SL 0001 25 кг</t>
        </is>
      </c>
      <c r="D424" s="8" t="inlineStr">
        <is>
          <t>Perel SL</t>
        </is>
      </c>
      <c r="E424" s="8" t="inlineStr">
        <is>
          <t>супер-белый, 25 кг</t>
        </is>
      </c>
      <c r="F424" s="8" t="inlineStr">
        <is>
          <t>masonry_colored</t>
        </is>
      </c>
      <c r="G424" s="8" t="inlineStr">
        <is>
          <t>yes</t>
        </is>
      </c>
      <c r="H424" s="8" t="inlineStr">
        <is>
          <t>Цветная смесь Perel SL 0001 для кладки облицовочного кирпича с средним водопоглощением от 5 до 12 % (керамический кирпич и т.п.).</t>
        </is>
      </c>
      <c r="I424" s="8" t="inlineStr">
        <is>
          <t>фасовка 25 кг</t>
        </is>
      </c>
      <c r="J424" s="8" t="inlineStr"/>
      <c r="K424" s="8" t="inlineStr">
        <is>
          <t>В наличии</t>
        </is>
      </c>
      <c r="L424" s="8" t="inlineStr">
        <is>
          <t>https://td-perel.ru/catalog/perel-sl/super-belaya-kladochnaya-smes-perel-sl-25-kg/</t>
        </is>
      </c>
    </row>
    <row r="425">
      <c r="A425" s="8" t="inlineStr">
        <is>
          <t>Perel</t>
        </is>
      </c>
      <c r="B425" s="8" t="inlineStr">
        <is>
          <t>product</t>
        </is>
      </c>
      <c r="C425" s="8" t="inlineStr">
        <is>
          <t>Супер-белая кладочная смесь Perel SL 0001 50 кг</t>
        </is>
      </c>
      <c r="D425" s="8" t="inlineStr">
        <is>
          <t>Perel SL</t>
        </is>
      </c>
      <c r="E425" s="8" t="inlineStr">
        <is>
          <t>супер-белый, 50 кг</t>
        </is>
      </c>
      <c r="F425" s="8" t="inlineStr">
        <is>
          <t>masonry_colored</t>
        </is>
      </c>
      <c r="G425" s="8" t="inlineStr">
        <is>
          <t>yes</t>
        </is>
      </c>
      <c r="H425" s="8" t="inlineStr">
        <is>
          <t>Цветная смесь Perel SL 0001 для кладки облицовочного кирпича с средним водопоглощением от 5 до 12 % (керамический кирпич и т.п.).</t>
        </is>
      </c>
      <c r="I425" s="8" t="inlineStr">
        <is>
          <t>фасовка 50 кг</t>
        </is>
      </c>
      <c r="J425" s="8" t="inlineStr"/>
      <c r="K425" s="8" t="inlineStr">
        <is>
          <t>В наличии</t>
        </is>
      </c>
      <c r="L425" s="8" t="inlineStr">
        <is>
          <t>https://td-perel.ru/catalog/perel-sl/super-belaya-kladochnaya-smes-perel-sl-50-kg/</t>
        </is>
      </c>
    </row>
    <row r="426">
      <c r="A426" s="8" t="inlineStr">
        <is>
          <t>Perel</t>
        </is>
      </c>
      <c r="B426" s="8" t="inlineStr">
        <is>
          <t>product</t>
        </is>
      </c>
      <c r="C426" s="8" t="inlineStr">
        <is>
          <t>Темно-серая кладочная смесь Perel SL 25 кг</t>
        </is>
      </c>
      <c r="D426" s="8" t="inlineStr">
        <is>
          <t>Perel SL</t>
        </is>
      </c>
      <c r="E426" s="8" t="inlineStr">
        <is>
          <t>темно-серый, 25 кг</t>
        </is>
      </c>
      <c r="F426" s="8" t="inlineStr">
        <is>
          <t>masonry_colored</t>
        </is>
      </c>
      <c r="G426" s="8" t="inlineStr">
        <is>
          <t>yes</t>
        </is>
      </c>
      <c r="H426" s="8" t="inlineStr">
        <is>
          <t>Цветная смесь Perel SL 0015 для кладки облицовочного кирпича с средним водопоглощением от 5 до 12 % (керамический кирпич и т.п.).</t>
        </is>
      </c>
      <c r="I426" s="8" t="inlineStr">
        <is>
          <t>фасовка 25 кг</t>
        </is>
      </c>
      <c r="J426" s="8" t="inlineStr"/>
      <c r="K426" s="8" t="inlineStr">
        <is>
          <t>В наличии</t>
        </is>
      </c>
      <c r="L426" s="8" t="inlineStr">
        <is>
          <t>https://td-perel.ru/catalog/perel-sl/temno-seraya-kladochnaya-smes-perel-sl-25-kg/</t>
        </is>
      </c>
    </row>
    <row r="427">
      <c r="A427" s="8" t="inlineStr">
        <is>
          <t>Perel</t>
        </is>
      </c>
      <c r="B427" s="8" t="inlineStr">
        <is>
          <t>product</t>
        </is>
      </c>
      <c r="C427" s="8" t="inlineStr">
        <is>
          <t>Темно-серая кладочная смесь Perel SL 50 кг</t>
        </is>
      </c>
      <c r="D427" s="8" t="inlineStr">
        <is>
          <t>Perel SL</t>
        </is>
      </c>
      <c r="E427" s="8" t="inlineStr">
        <is>
          <t>темно-серый, 50 кг</t>
        </is>
      </c>
      <c r="F427" s="8" t="inlineStr">
        <is>
          <t>masonry_colored</t>
        </is>
      </c>
      <c r="G427" s="8" t="inlineStr">
        <is>
          <t>yes</t>
        </is>
      </c>
      <c r="H427" s="8" t="inlineStr">
        <is>
          <t>Цветная смесь Perel SL 0015 для кладки облицовочного кирпича с средним водопоглощением от 5 до 12 % (керамический кирпич и т.п.).</t>
        </is>
      </c>
      <c r="I427" s="8" t="inlineStr">
        <is>
          <t>фасовка 50 кг</t>
        </is>
      </c>
      <c r="J427" s="8" t="inlineStr"/>
      <c r="K427" s="8" t="inlineStr">
        <is>
          <t>В наличии</t>
        </is>
      </c>
      <c r="L427" s="8" t="inlineStr">
        <is>
          <t>https://td-perel.ru/catalog/perel-sl/temno-seraya-kladochnaya-smes-perel-sl-50-kg/</t>
        </is>
      </c>
    </row>
    <row r="428">
      <c r="A428" s="8" t="inlineStr">
        <is>
          <t>Perel</t>
        </is>
      </c>
      <c r="B428" s="8" t="inlineStr">
        <is>
          <t>product</t>
        </is>
      </c>
      <c r="C428" s="8" t="inlineStr">
        <is>
          <t>Черная кладочная смесь Perel SL 25 кг</t>
        </is>
      </c>
      <c r="D428" s="8" t="inlineStr">
        <is>
          <t>Perel SL</t>
        </is>
      </c>
      <c r="E428" s="8" t="inlineStr">
        <is>
          <t>черный, 25 кг</t>
        </is>
      </c>
      <c r="F428" s="8" t="inlineStr">
        <is>
          <t>masonry_colored</t>
        </is>
      </c>
      <c r="G428" s="8" t="inlineStr">
        <is>
          <t>yes</t>
        </is>
      </c>
      <c r="H428" s="8" t="inlineStr">
        <is>
          <t>Цветная смесь Perel SL 0065 для кладки облицовочного кирпича с средним водопоглощением от 5 до 12 % (керамический кирпич и т.п.).</t>
        </is>
      </c>
      <c r="I428" s="8" t="inlineStr">
        <is>
          <t>фасовка 25 кг</t>
        </is>
      </c>
      <c r="J428" s="8" t="inlineStr"/>
      <c r="K428" s="8" t="inlineStr">
        <is>
          <t>В наличии</t>
        </is>
      </c>
      <c r="L428" s="8" t="inlineStr">
        <is>
          <t>https://td-perel.ru/catalog/perel-sl/chernaya-kladochnaya-smes-perel-sl-25-kg/</t>
        </is>
      </c>
    </row>
    <row r="429">
      <c r="A429" s="8" t="inlineStr">
        <is>
          <t>Perel</t>
        </is>
      </c>
      <c r="B429" s="8" t="inlineStr">
        <is>
          <t>product</t>
        </is>
      </c>
      <c r="C429" s="8" t="inlineStr">
        <is>
          <t>Черная кладочная смесь Perel SL 50 кг</t>
        </is>
      </c>
      <c r="D429" s="8" t="inlineStr">
        <is>
          <t>Perel SL</t>
        </is>
      </c>
      <c r="E429" s="8" t="inlineStr">
        <is>
          <t>черный, 50 кг</t>
        </is>
      </c>
      <c r="F429" s="8" t="inlineStr">
        <is>
          <t>masonry_colored</t>
        </is>
      </c>
      <c r="G429" s="8" t="inlineStr">
        <is>
          <t>yes</t>
        </is>
      </c>
      <c r="H429" s="8" t="inlineStr">
        <is>
          <t>Цветная смесь Perel SL 0065 для кладки облицовочного кирпича с средним водопоглощением от 5 до 12 % (керамический кирпич и т.п.).</t>
        </is>
      </c>
      <c r="I429" s="8" t="inlineStr">
        <is>
          <t>фасовка 50 кг</t>
        </is>
      </c>
      <c r="J429" s="8" t="inlineStr"/>
      <c r="K429" s="8" t="inlineStr">
        <is>
          <t>В наличии</t>
        </is>
      </c>
      <c r="L429" s="8" t="inlineStr">
        <is>
          <t>https://td-perel.ru/catalog/perel-sl/chernaya-kladochnaya-smes-perel-sl-50-kg/</t>
        </is>
      </c>
    </row>
    <row r="430">
      <c r="A430" s="8" t="inlineStr">
        <is>
          <t>Perel</t>
        </is>
      </c>
      <c r="B430" s="8" t="inlineStr">
        <is>
          <t>product</t>
        </is>
      </c>
      <c r="C430" s="8" t="inlineStr">
        <is>
          <t>Шоколадная кладочная смесь Perel SL 25 кг</t>
        </is>
      </c>
      <c r="D430" s="8" t="inlineStr">
        <is>
          <t>Perel SL</t>
        </is>
      </c>
      <c r="E430" s="8" t="inlineStr">
        <is>
          <t>шоколадный, 25 кг</t>
        </is>
      </c>
      <c r="F430" s="8" t="inlineStr">
        <is>
          <t>masonry_colored</t>
        </is>
      </c>
      <c r="G430" s="8" t="inlineStr">
        <is>
          <t>yes</t>
        </is>
      </c>
      <c r="H430" s="8" t="inlineStr">
        <is>
          <t>Цветная смесь Perel SL 0055 для кладки облицовочного кирпича с средним водопоглощением от 5 до 12 % (керамический кирпич и т.п.).</t>
        </is>
      </c>
      <c r="I430" s="8" t="inlineStr">
        <is>
          <t>фасовка 25 кг</t>
        </is>
      </c>
      <c r="J430" s="8" t="inlineStr"/>
      <c r="K430" s="8" t="inlineStr">
        <is>
          <t>В наличии</t>
        </is>
      </c>
      <c r="L430" s="8" t="inlineStr">
        <is>
          <t>https://td-perel.ru/catalog/perel-sl/shokoladnaya-kladochnaya-smes-perel-sl-25-kg/</t>
        </is>
      </c>
    </row>
    <row r="431">
      <c r="A431" s="8" t="inlineStr">
        <is>
          <t>Perel</t>
        </is>
      </c>
      <c r="B431" s="8" t="inlineStr">
        <is>
          <t>product</t>
        </is>
      </c>
      <c r="C431" s="8" t="inlineStr">
        <is>
          <t>Шоколадная кладочная смесь Perel SL 50 кг</t>
        </is>
      </c>
      <c r="D431" s="8" t="inlineStr">
        <is>
          <t>Perel SL</t>
        </is>
      </c>
      <c r="E431" s="8" t="inlineStr">
        <is>
          <t>шоколадный, 50 кг</t>
        </is>
      </c>
      <c r="F431" s="8" t="inlineStr">
        <is>
          <t>masonry_colored</t>
        </is>
      </c>
      <c r="G431" s="8" t="inlineStr">
        <is>
          <t>yes</t>
        </is>
      </c>
      <c r="H431" s="8" t="inlineStr">
        <is>
          <t>Цветная смесь Perel SL 0055 для кладки облицовочного кирпича с средним водопоглощением от 5 до 12 % (керамический кирпич и т.п.).</t>
        </is>
      </c>
      <c r="I431" s="8" t="inlineStr">
        <is>
          <t>фасовка 50 кг</t>
        </is>
      </c>
      <c r="J431" s="8" t="inlineStr"/>
      <c r="K431" s="8" t="inlineStr">
        <is>
          <t>В наличии</t>
        </is>
      </c>
      <c r="L431" s="8" t="inlineStr">
        <is>
          <t>https://td-perel.ru/catalog/perel-sl/shokoladnaya-kladochnaya-smes-perel-sl-50-kg/</t>
        </is>
      </c>
    </row>
    <row r="432">
      <c r="A432" s="8" t="inlineStr">
        <is>
          <t>Perel</t>
        </is>
      </c>
      <c r="B432" s="8" t="inlineStr">
        <is>
          <t>product_group_landing</t>
        </is>
      </c>
      <c r="C432" s="8" t="inlineStr">
        <is>
          <t>Белая кладочная смесь</t>
        </is>
      </c>
      <c r="D432" s="8" t="inlineStr">
        <is>
          <t>Perel SL/VL/NL (подборка «белая»)</t>
        </is>
      </c>
      <c r="E432" s="8" t="inlineStr">
        <is>
          <t>белая</t>
        </is>
      </c>
      <c r="F432" s="8" t="inlineStr">
        <is>
          <t>masonry_colored</t>
        </is>
      </c>
      <c r="G432" s="8" t="inlineStr">
        <is>
          <t>yes</t>
        </is>
      </c>
      <c r="H432" s="8" t="inlineStr">
        <is>
          <t>Белый раствор применяется преимущественно для кладки облицовочного кирпича.</t>
        </is>
      </c>
      <c r="I432" s="8" t="inlineStr">
        <is>
          <t>Масса мешка
25 кг
50 кг</t>
        </is>
      </c>
      <c r="J432" s="8" t="inlineStr"/>
      <c r="K432" s="8" t="inlineStr"/>
      <c r="L432" s="8" t="inlineStr">
        <is>
          <t>https://td-perel.ru/catalog/tsvetnaya-kladochnaya-smes/belaya-kladochnaya-smes/</t>
        </is>
      </c>
    </row>
    <row r="433">
      <c r="A433" s="8" t="inlineStr">
        <is>
          <t>Perel</t>
        </is>
      </c>
      <c r="B433" s="8" t="inlineStr">
        <is>
          <t>product_group_landing</t>
        </is>
      </c>
      <c r="C433" s="8" t="inlineStr">
        <is>
          <t>Черная кладочная смесь</t>
        </is>
      </c>
      <c r="D433" s="8" t="inlineStr">
        <is>
          <t>Perel SL/VL/NL (подборка «черная»)</t>
        </is>
      </c>
      <c r="E433" s="8" t="inlineStr">
        <is>
          <t>черная</t>
        </is>
      </c>
      <c r="F433" s="8" t="inlineStr">
        <is>
          <t>masonry_colored</t>
        </is>
      </c>
      <c r="G433" s="8" t="inlineStr">
        <is>
          <t>yes</t>
        </is>
      </c>
      <c r="H433" s="8" t="inlineStr">
        <is>
          <t>Черный раствор применяется преимущественно для кладки облицовочного кирпича.</t>
        </is>
      </c>
      <c r="I433" s="8" t="inlineStr">
        <is>
          <t>Масса мешка
25 кг
50 кг</t>
        </is>
      </c>
      <c r="J433" s="8" t="inlineStr"/>
      <c r="K433" s="8" t="inlineStr"/>
      <c r="L433" s="8" t="inlineStr">
        <is>
          <t>https://td-perel.ru/catalog/tsvetnaya-kladochnaya-smes/chernaya-kladochnaya-smes/</t>
        </is>
      </c>
    </row>
    <row r="434">
      <c r="A434" s="8" t="inlineStr">
        <is>
          <t>Perel</t>
        </is>
      </c>
      <c r="B434" s="8" t="inlineStr">
        <is>
          <t>product</t>
        </is>
      </c>
      <c r="C434" s="8" t="inlineStr">
        <is>
          <t>Perel Silicio, короед 1,5 мм</t>
        </is>
      </c>
      <c r="D434" s="8" t="inlineStr">
        <is>
          <t>Perel Silicio короед</t>
        </is>
      </c>
      <c r="E434" s="8" t="inlineStr">
        <is>
          <t>зерно 1,5 мм</t>
        </is>
      </c>
      <c r="F434" s="8" t="inlineStr">
        <is>
          <t>decorative_plaster_paste</t>
        </is>
      </c>
      <c r="G434" s="8" t="inlineStr">
        <is>
          <t>no</t>
        </is>
      </c>
      <c r="H434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434" s="8" t="inlineStr">
        <is>
          <t>18кг. Пластиковое ведро.</t>
        </is>
      </c>
      <c r="J434" s="8" t="inlineStr"/>
      <c r="K434" s="8" t="inlineStr">
        <is>
          <t>В наличии</t>
        </is>
      </c>
      <c r="L434" s="8" t="inlineStr">
        <is>
          <t>https://td-perel.ru/catalog/silikonovaya/perel-silicio-koroed/</t>
        </is>
      </c>
    </row>
    <row r="435">
      <c r="A435" s="8" t="inlineStr">
        <is>
          <t>Perel</t>
        </is>
      </c>
      <c r="B435" s="8" t="inlineStr">
        <is>
          <t>product</t>
        </is>
      </c>
      <c r="C435" s="8" t="inlineStr">
        <is>
          <t>Perel Silicio, короед 2 мм</t>
        </is>
      </c>
      <c r="D435" s="8" t="inlineStr">
        <is>
          <t>Perel Silicio короед</t>
        </is>
      </c>
      <c r="E435" s="8" t="inlineStr">
        <is>
          <t>зерно 2 мм</t>
        </is>
      </c>
      <c r="F435" s="8" t="inlineStr">
        <is>
          <t>decorative_plaster_paste</t>
        </is>
      </c>
      <c r="G435" s="8" t="inlineStr">
        <is>
          <t>no</t>
        </is>
      </c>
      <c r="H435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435" s="8" t="inlineStr">
        <is>
          <t>18кг. Пластиковое ведро.</t>
        </is>
      </c>
      <c r="J435" s="8" t="inlineStr"/>
      <c r="K435" s="8" t="inlineStr">
        <is>
          <t>В наличии</t>
        </is>
      </c>
      <c r="L435" s="8" t="inlineStr">
        <is>
          <t>https://td-perel.ru/catalog/silikonovaya/perel-silicio-koroed363/</t>
        </is>
      </c>
    </row>
    <row r="436">
      <c r="A436" s="8" t="inlineStr">
        <is>
          <t>Perel</t>
        </is>
      </c>
      <c r="B436" s="8" t="inlineStr">
        <is>
          <t>product</t>
        </is>
      </c>
      <c r="C436" s="8" t="inlineStr">
        <is>
          <t>Perel Silicio, короед 2,5 мм</t>
        </is>
      </c>
      <c r="D436" s="8" t="inlineStr">
        <is>
          <t>Perel Silicio короед</t>
        </is>
      </c>
      <c r="E436" s="8" t="inlineStr">
        <is>
          <t>зерно 2,5 мм</t>
        </is>
      </c>
      <c r="F436" s="8" t="inlineStr">
        <is>
          <t>decorative_plaster_paste</t>
        </is>
      </c>
      <c r="G436" s="8" t="inlineStr">
        <is>
          <t>no</t>
        </is>
      </c>
      <c r="H436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436" s="8" t="inlineStr">
        <is>
          <t>18кг. Пластиковое ведро.</t>
        </is>
      </c>
      <c r="J436" s="8" t="inlineStr"/>
      <c r="K436" s="8" t="inlineStr">
        <is>
          <t>В наличии</t>
        </is>
      </c>
      <c r="L436" s="8" t="inlineStr">
        <is>
          <t>https://td-perel.ru/catalog/silikonovaya/perel-silicio-koroed-2-5-mm/</t>
        </is>
      </c>
    </row>
    <row r="437">
      <c r="A437" s="8" t="inlineStr">
        <is>
          <t>Perel</t>
        </is>
      </c>
      <c r="B437" s="8" t="inlineStr">
        <is>
          <t>product</t>
        </is>
      </c>
      <c r="C437" s="8" t="inlineStr">
        <is>
          <t>Perel Silicio, шуба 1,5 мм</t>
        </is>
      </c>
      <c r="D437" s="8" t="inlineStr">
        <is>
          <t>Perel Silicio шуба</t>
        </is>
      </c>
      <c r="E437" s="8" t="inlineStr">
        <is>
          <t>зерно 1,5 мм</t>
        </is>
      </c>
      <c r="F437" s="8" t="inlineStr">
        <is>
          <t>decorative_plaster_paste</t>
        </is>
      </c>
      <c r="G437" s="8" t="inlineStr">
        <is>
          <t>no</t>
        </is>
      </c>
      <c r="H437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437" s="8" t="inlineStr">
        <is>
          <t>18кг. Пластиковое ведро.</t>
        </is>
      </c>
      <c r="J437" s="8" t="inlineStr"/>
      <c r="K437" s="8" t="inlineStr">
        <is>
          <t>В наличии</t>
        </is>
      </c>
      <c r="L437" s="8" t="inlineStr">
        <is>
          <t>https://td-perel.ru/catalog/silikonovaya/perel-silicio-shuba/</t>
        </is>
      </c>
    </row>
    <row r="438">
      <c r="A438" s="8" t="inlineStr">
        <is>
          <t>Perel</t>
        </is>
      </c>
      <c r="B438" s="8" t="inlineStr">
        <is>
          <t>product</t>
        </is>
      </c>
      <c r="C438" s="8" t="inlineStr">
        <is>
          <t>Perel Silicio, шуба 2 мм</t>
        </is>
      </c>
      <c r="D438" s="8" t="inlineStr">
        <is>
          <t>Perel Silicio шуба</t>
        </is>
      </c>
      <c r="E438" s="8" t="inlineStr">
        <is>
          <t>зерно 2 мм</t>
        </is>
      </c>
      <c r="F438" s="8" t="inlineStr">
        <is>
          <t>decorative_plaster_paste</t>
        </is>
      </c>
      <c r="G438" s="8" t="inlineStr">
        <is>
          <t>no</t>
        </is>
      </c>
      <c r="H438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438" s="8" t="inlineStr">
        <is>
          <t>18кг. Пластиковое ведро.</t>
        </is>
      </c>
      <c r="J438" s="8" t="inlineStr"/>
      <c r="K438" s="8" t="inlineStr">
        <is>
          <t>В наличии</t>
        </is>
      </c>
      <c r="L438" s="8" t="inlineStr">
        <is>
          <t>https://td-perel.ru/catalog/silikonovaya/perel-silicio-shuba-2-mm/</t>
        </is>
      </c>
    </row>
    <row r="439">
      <c r="A439" s="8" t="inlineStr">
        <is>
          <t>Perel</t>
        </is>
      </c>
      <c r="B439" s="8" t="inlineStr">
        <is>
          <t>product</t>
        </is>
      </c>
      <c r="C439" s="8" t="inlineStr">
        <is>
          <t>Perel Silicio, шуба 2,5 мм</t>
        </is>
      </c>
      <c r="D439" s="8" t="inlineStr">
        <is>
          <t>Perel Silicio шуба</t>
        </is>
      </c>
      <c r="E439" s="8" t="inlineStr">
        <is>
          <t>зерно 2,5 мм</t>
        </is>
      </c>
      <c r="F439" s="8" t="inlineStr">
        <is>
          <t>decorative_plaster_paste</t>
        </is>
      </c>
      <c r="G439" s="8" t="inlineStr">
        <is>
          <t>no</t>
        </is>
      </c>
      <c r="H439" s="8" t="inlineStr">
        <is>
          <t>Применяется для финишной декоративной отделки. Наносится на бетонные, кирпичные, оштукатуренные и другие минеральные поверхности.</t>
        </is>
      </c>
      <c r="I439" s="8" t="inlineStr">
        <is>
          <t>18кг. Пластиковое ведро.</t>
        </is>
      </c>
      <c r="J439" s="8" t="inlineStr"/>
      <c r="K439" s="8" t="inlineStr">
        <is>
          <t>В наличии</t>
        </is>
      </c>
      <c r="L439" s="8" t="inlineStr">
        <is>
          <t>https://td-perel.ru/catalog/silikonovaya/perel-silicio-shuba94235487/</t>
        </is>
      </c>
    </row>
    <row r="440">
      <c r="A440" s="8" t="inlineStr">
        <is>
          <t>Perel</t>
        </is>
      </c>
      <c r="B440" s="8" t="inlineStr">
        <is>
          <t>product</t>
        </is>
      </c>
      <c r="C440" s="8" t="inlineStr">
        <is>
          <t>Perel Spazzino, 10 л</t>
        </is>
      </c>
      <c r="D440" s="8" t="inlineStr">
        <is>
          <t>Perel Spazzino</t>
        </is>
      </c>
      <c r="E440" s="8" t="inlineStr">
        <is>
          <t>10 л</t>
        </is>
      </c>
      <c r="F440" s="8" t="inlineStr">
        <is>
          <t>efflorescence_remover</t>
        </is>
      </c>
      <c r="G440" s="8" t="inlineStr">
        <is>
          <t>no</t>
        </is>
      </c>
      <c r="H440" s="8" t="inlineStr">
        <is>
          <t>Специализированный состав на основе низкопроцентных кислот для очистки фасада, кирпича, плитки, натурального или искусственного камня.</t>
        </is>
      </c>
      <c r="I440" s="8" t="inlineStr">
        <is>
          <t>10 л</t>
        </is>
      </c>
      <c r="J440" s="8" t="inlineStr">
        <is>
          <t>Расход: 250-300 мг/м²</t>
        </is>
      </c>
      <c r="K440" s="8" t="inlineStr">
        <is>
          <t>В наличии</t>
        </is>
      </c>
      <c r="L440" s="8" t="inlineStr">
        <is>
          <t>https://td-perel.ru/catalog/sredstvo-dlya-udaleniya-vysolov/perel-impregno6531/</t>
        </is>
      </c>
    </row>
    <row r="441">
      <c r="A441" s="8" t="inlineStr">
        <is>
          <t>Perel</t>
        </is>
      </c>
      <c r="B441" s="8" t="inlineStr">
        <is>
          <t>product</t>
        </is>
      </c>
      <c r="C441" s="8" t="inlineStr">
        <is>
          <t>Perel Spazzino, 5 л</t>
        </is>
      </c>
      <c r="D441" s="8" t="inlineStr">
        <is>
          <t>Perel Spazzino</t>
        </is>
      </c>
      <c r="E441" s="8" t="inlineStr">
        <is>
          <t>5 л</t>
        </is>
      </c>
      <c r="F441" s="8" t="inlineStr">
        <is>
          <t>efflorescence_remover</t>
        </is>
      </c>
      <c r="G441" s="8" t="inlineStr">
        <is>
          <t>no</t>
        </is>
      </c>
      <c r="H441" s="8" t="inlineStr">
        <is>
          <t>Специализированный состав на основе низкопроцентных кислот для очистки фасада, кирпича, плитки, натурального или искусственного камня.</t>
        </is>
      </c>
      <c r="I441" s="8" t="inlineStr">
        <is>
          <t>5 л</t>
        </is>
      </c>
      <c r="J441" s="8" t="inlineStr">
        <is>
          <t>Расход: 250-300 мг/м²</t>
        </is>
      </c>
      <c r="K441" s="8" t="inlineStr">
        <is>
          <t>В наличии</t>
        </is>
      </c>
      <c r="L441" s="8" t="inlineStr">
        <is>
          <t>https://td-perel.ru/catalog/sredstvo-dlya-udaleniya-vysolov/perel-impregno/</t>
        </is>
      </c>
    </row>
    <row r="442">
      <c r="A442" s="8" t="inlineStr">
        <is>
          <t>Perel</t>
        </is>
      </c>
      <c r="B442" s="8" t="inlineStr">
        <is>
          <t>product</t>
        </is>
      </c>
      <c r="C442" s="8" t="inlineStr">
        <is>
          <t>Perel Spazzino Prima, 10 л, концентрат</t>
        </is>
      </c>
      <c r="D442" s="8" t="inlineStr">
        <is>
          <t>Perel Spazzino Prima</t>
        </is>
      </c>
      <c r="E442" s="8" t="inlineStr">
        <is>
          <t>10 л, концентрат</t>
        </is>
      </c>
      <c r="F442" s="8" t="inlineStr">
        <is>
          <t>efflorescence_remover</t>
        </is>
      </c>
      <c r="G442" s="8" t="inlineStr">
        <is>
          <t>no</t>
        </is>
      </c>
      <c r="H442" s="8" t="inlineStr">
        <is>
          <t>Применяется для очистки стен из кирпича, плитки, натурального или искусственного камня внутри и снаружи помещений. Эффективен против солей любой природы.</t>
        </is>
      </c>
      <c r="I442" s="8" t="inlineStr">
        <is>
          <t>10 л</t>
        </is>
      </c>
      <c r="J442" s="8" t="inlineStr"/>
      <c r="K442" s="8" t="inlineStr">
        <is>
          <t>В наличии</t>
        </is>
      </c>
      <c r="L442" s="8" t="inlineStr">
        <is>
          <t>https://td-perel.ru/catalog/sredstvo-dlya-udaleniya-vysolov/perel-impregno99968760/</t>
        </is>
      </c>
    </row>
    <row r="443">
      <c r="A443" s="8" t="inlineStr">
        <is>
          <t>Perel</t>
        </is>
      </c>
      <c r="B443" s="8" t="inlineStr">
        <is>
          <t>product</t>
        </is>
      </c>
      <c r="C443" s="8" t="inlineStr">
        <is>
          <t>Perel Spazzino Prima, 5 л, концентрат</t>
        </is>
      </c>
      <c r="D443" s="8" t="inlineStr">
        <is>
          <t>Perel Spazzino Prima</t>
        </is>
      </c>
      <c r="E443" s="8" t="inlineStr">
        <is>
          <t>5 л, концентрат</t>
        </is>
      </c>
      <c r="F443" s="8" t="inlineStr">
        <is>
          <t>efflorescence_remover</t>
        </is>
      </c>
      <c r="G443" s="8" t="inlineStr">
        <is>
          <t>no</t>
        </is>
      </c>
      <c r="H443" s="8" t="inlineStr">
        <is>
          <t>Специализированный концентрированный состав для очистки фасадов, строительных конструкций из кирпича, натурального или искусственного камня.</t>
        </is>
      </c>
      <c r="I443" s="8" t="inlineStr">
        <is>
          <t>5 л</t>
        </is>
      </c>
      <c r="J443" s="8" t="inlineStr"/>
      <c r="K443" s="8" t="inlineStr">
        <is>
          <t>В наличии</t>
        </is>
      </c>
      <c r="L443" s="8" t="inlineStr">
        <is>
          <t>https://td-perel.ru/catalog/sredstvo-dlya-udaleniya-vysolov/perel-spazzino-prima-5l/</t>
        </is>
      </c>
    </row>
    <row r="444">
      <c r="A444" s="8" t="inlineStr">
        <is>
          <t>Perel</t>
        </is>
      </c>
      <c r="B444" s="8" t="inlineStr">
        <is>
          <t>product</t>
        </is>
      </c>
      <c r="C444" s="8" t="inlineStr">
        <is>
          <t>Perel Struttura Facci, декоративная краска</t>
        </is>
      </c>
      <c r="D444" s="8" t="inlineStr">
        <is>
          <t>Perel Struttura Facci</t>
        </is>
      </c>
      <c r="E444" s="8" t="inlineStr"/>
      <c r="F444" s="8" t="inlineStr">
        <is>
          <t>paint</t>
        </is>
      </c>
      <c r="G444" s="8" t="inlineStr">
        <is>
          <t>no</t>
        </is>
      </c>
      <c r="H444" s="8" t="inlineStr">
        <is>
          <t>Декоративная краска для наружных и внутренних работ на минеральных основаниях. Применяется в качестве финишного декоративного покрытия, образует прочное антивандальное покрытие, устойчивое к любым атмосферным явлениям.</t>
        </is>
      </c>
      <c r="I444" s="8" t="inlineStr"/>
      <c r="J444" s="8" t="inlineStr"/>
      <c r="K444" s="8" t="inlineStr">
        <is>
          <t>В наличии</t>
        </is>
      </c>
      <c r="L444" s="8" t="inlineStr">
        <is>
          <t>https://td-perel.ru/catalog/fakturnye-materialy/perel-struttura-facci/</t>
        </is>
      </c>
    </row>
    <row r="445">
      <c r="A445" s="8" t="inlineStr">
        <is>
          <t>Perel</t>
        </is>
      </c>
      <c r="B445" s="8" t="inlineStr">
        <is>
          <t>product</t>
        </is>
      </c>
      <c r="C445" s="8" t="inlineStr">
        <is>
          <t>Perel Struttura Interno, фактурная краска для внутренних работ</t>
        </is>
      </c>
      <c r="D445" s="8" t="inlineStr">
        <is>
          <t>Perel Struttura Interno</t>
        </is>
      </c>
      <c r="E445" s="8" t="inlineStr"/>
      <c r="F445" s="8" t="inlineStr">
        <is>
          <t>paint</t>
        </is>
      </c>
      <c r="G445" s="8" t="inlineStr">
        <is>
          <t>no</t>
        </is>
      </c>
      <c r="H445" s="8" t="inlineStr">
        <is>
          <t>Фактурная краска для получения декоративного рельефного покрытия на минеральных основаниях внутри помещения. Образует декоративный слой, скрывающий мелкие дефекты стен.</t>
        </is>
      </c>
      <c r="I445" s="8" t="inlineStr"/>
      <c r="J445" s="8" t="inlineStr"/>
      <c r="K445" s="8" t="inlineStr">
        <is>
          <t>В наличии</t>
        </is>
      </c>
      <c r="L445" s="8" t="inlineStr">
        <is>
          <t>https://td-perel.ru/catalog/fakturnye-materialy/perel-struttura-interno/</t>
        </is>
      </c>
    </row>
    <row r="446">
      <c r="A446" s="8" t="inlineStr">
        <is>
          <t>Perel</t>
        </is>
      </c>
      <c r="B446" s="8" t="inlineStr">
        <is>
          <t>product</t>
        </is>
      </c>
      <c r="C446" s="8" t="inlineStr">
        <is>
          <t>Perel Supremium С2 ТЕ S1, 25 кг, эластичная, водостойкая, беспылевая клеевая смесь</t>
        </is>
      </c>
      <c r="D446" s="8" t="inlineStr">
        <is>
          <t>Perel Supremium</t>
        </is>
      </c>
      <c r="E446" s="8" t="inlineStr">
        <is>
          <t>серый, 25 кг, «лето» (арт. 0315)</t>
        </is>
      </c>
      <c r="F446" s="8" t="inlineStr">
        <is>
          <t>tile_adhesive</t>
        </is>
      </c>
      <c r="G446" s="8" t="inlineStr">
        <is>
          <t>yes</t>
        </is>
      </c>
      <c r="H446" s="8" t="inlineStr">
        <is>
          <t>Используется для укладки тяжелой плитки больших размеров, натурального и искусственного камня, клинкерной плитки на минеральные недеформирующиеся основания в сухих и влажных помещениях.</t>
        </is>
      </c>
      <c r="I446" s="8" t="inlineStr">
        <is>
          <t>Бумажные крафт-мешки - 25 кг .</t>
        </is>
      </c>
      <c r="J446" s="8" t="inlineStr">
        <is>
          <t>3,5-5,0 кг смеси на м2 при использовании зубчатого шпателя 6×6 мм.</t>
        </is>
      </c>
      <c r="K446" s="8" t="inlineStr">
        <is>
          <t>В наличии</t>
        </is>
      </c>
      <c r="L446" s="8" t="inlineStr">
        <is>
          <t>https://td-perel.ru/catalog/klei-dlya-plitki-i-kamnya/perel-supremium/</t>
        </is>
      </c>
    </row>
    <row r="447">
      <c r="A447" s="8" t="inlineStr">
        <is>
          <t>Perel</t>
        </is>
      </c>
      <c r="B447" s="8" t="inlineStr">
        <is>
          <t>product_group_landing</t>
        </is>
      </c>
      <c r="C447" s="8" t="inlineStr">
        <is>
          <t>Теплая кладочная смесь для арболита</t>
        </is>
      </c>
      <c r="D447" s="8" t="inlineStr">
        <is>
          <t>Perel TKS (подборка «для арболита»)</t>
        </is>
      </c>
      <c r="E447" s="8" t="inlineStr"/>
      <c r="F447" s="8" t="inlineStr">
        <is>
          <t>masonry_thermal</t>
        </is>
      </c>
      <c r="G447" s="8" t="inlineStr">
        <is>
          <t>yes</t>
        </is>
      </c>
      <c r="H447" s="8" t="inlineStr">
        <is>
          <t>Теплая кладочная смесь с содержанием перлита для кладки блоков из арболита</t>
        </is>
      </c>
      <c r="I447" s="8" t="inlineStr"/>
      <c r="J447" s="8" t="inlineStr"/>
      <c r="K447" s="8" t="inlineStr"/>
      <c r="L447" s="8" t="inlineStr">
        <is>
          <t>https://td-perel.ru/catalog/teplaya-kladochnaya-smes/dlya-arbolita/</t>
        </is>
      </c>
    </row>
    <row r="448">
      <c r="A448" s="8" t="inlineStr">
        <is>
          <t>Perel</t>
        </is>
      </c>
      <c r="B448" s="8" t="inlineStr">
        <is>
          <t>product</t>
        </is>
      </c>
      <c r="C448" s="8" t="inlineStr">
        <is>
          <t>Теплая кладочная смесь Perel TKS 2020, 25 кг</t>
        </is>
      </c>
      <c r="D448" s="8" t="inlineStr">
        <is>
          <t>Perel TKS 2020</t>
        </is>
      </c>
      <c r="E448" s="8" t="inlineStr">
        <is>
          <t>25 кг</t>
        </is>
      </c>
      <c r="F448" s="8" t="inlineStr">
        <is>
          <t>masonry_thermal</t>
        </is>
      </c>
      <c r="G448" s="8" t="inlineStr">
        <is>
          <t>yes</t>
        </is>
      </c>
      <c r="H448" s="8" t="inlineStr">
        <is>
          <t>Теплая смесь Perel TKS 2020 (усиленная) применяется в качестве раствора для кладки теплых блоков, таких как крупноформатные поризованные керамические блоки, поризованные керамические камни, арболит и т.п..</t>
        </is>
      </c>
      <c r="I448" s="8" t="inlineStr">
        <is>
          <t>Бумажные крафт-мешки: 25 кг</t>
        </is>
      </c>
      <c r="J448" s="8" t="inlineStr"/>
      <c r="K448" s="8" t="inlineStr">
        <is>
          <t>В наличии</t>
        </is>
      </c>
      <c r="L448" s="8" t="inlineStr">
        <is>
          <t>https://td-perel.ru/catalog/teplaya-kladochnaya-smes/teplaya-kladochnaya-smes-2020/</t>
        </is>
      </c>
    </row>
    <row r="449">
      <c r="A449" s="8" t="inlineStr">
        <is>
          <t>Perel</t>
        </is>
      </c>
      <c r="B449" s="8" t="inlineStr">
        <is>
          <t>product</t>
        </is>
      </c>
      <c r="C449" s="8" t="inlineStr">
        <is>
          <t>Теплая кладочная смесь Perel TKS 6020, 20 кг</t>
        </is>
      </c>
      <c r="D449" s="8" t="inlineStr">
        <is>
          <t>Perel TKS 6020</t>
        </is>
      </c>
      <c r="E449" s="8" t="inlineStr">
        <is>
          <t>20 кг</t>
        </is>
      </c>
      <c r="F449" s="8" t="inlineStr">
        <is>
          <t>masonry_thermal</t>
        </is>
      </c>
      <c r="G449" s="8" t="inlineStr">
        <is>
          <t>yes</t>
        </is>
      </c>
      <c r="H449" s="8" t="inlineStr">
        <is>
          <t>Теплая смесь Perel TKS 6020 (экономичная) применяется в качестве раствора для каменной и (или) кирпичной кладки материалов с повышенными теплоизоляционными свойствами, таких как крупноформатные поризованные керамические блоки, поризованные керамические камни.</t>
        </is>
      </c>
      <c r="I449" s="8" t="inlineStr">
        <is>
          <t>Бумажные крафт-мешки: 20 кг</t>
        </is>
      </c>
      <c r="J449" s="8" t="inlineStr"/>
      <c r="K449" s="8" t="inlineStr">
        <is>
          <t>В наличии</t>
        </is>
      </c>
      <c r="L449" s="8" t="inlineStr">
        <is>
          <t>https://td-perel.ru/catalog/teplaya-kladochnaya-smes/teplaya-kladochnaya-smes-20208216/</t>
        </is>
      </c>
    </row>
    <row r="450">
      <c r="A450" s="8" t="inlineStr">
        <is>
          <t>Perel</t>
        </is>
      </c>
      <c r="B450" s="8" t="inlineStr">
        <is>
          <t>product</t>
        </is>
      </c>
      <c r="C450" s="8" t="inlineStr">
        <is>
          <t>Теплая кладочная смесь Perel TKS 8020, 17.5 кг</t>
        </is>
      </c>
      <c r="D450" s="8" t="inlineStr">
        <is>
          <t>Perel TKS 8020</t>
        </is>
      </c>
      <c r="E450" s="8" t="inlineStr">
        <is>
          <t>17,5 кг, «лето» (зимний артикул 8520)</t>
        </is>
      </c>
      <c r="F450" s="8" t="inlineStr">
        <is>
          <t>masonry_thermal</t>
        </is>
      </c>
      <c r="G450" s="8" t="inlineStr">
        <is>
          <t>yes</t>
        </is>
      </c>
      <c r="H450" s="8" t="inlineStr">
        <is>
          <t>Применяется для исключения мостиков холода при кладке теплых блоков (керамические крупноформатные блоки и т.п.)</t>
        </is>
      </c>
      <c r="I450" s="8" t="inlineStr">
        <is>
          <t>Бумажные крафт-мешки: 17,5 кг</t>
        </is>
      </c>
      <c r="J450" s="8" t="inlineStr">
        <is>
          <t>Расход сухой смеси на 1 блок (кг)
51 - (510×250×219 мм)
1,4 - 1,5
44 - (440×250×219 мм)
1,2 - 1,3
38 - (380×250×219 мм)
1 - 1,1
30 - (250×300×219 мм)
0.8 - 0,9
25 - (250×380×219 мм)
1 - 1,1
12 - (120×500×219 мм)
0,6 - 0,7</t>
        </is>
      </c>
      <c r="K450" s="8" t="inlineStr">
        <is>
          <t>В наличии</t>
        </is>
      </c>
      <c r="L450" s="8" t="inlineStr">
        <is>
          <t>https://td-perel.ru/catalog/teplaya-kladochnaya-smes/perel-tks-8020/</t>
        </is>
      </c>
    </row>
    <row r="451">
      <c r="A451" s="8" t="inlineStr">
        <is>
          <t>Perel</t>
        </is>
      </c>
      <c r="B451" s="8" t="inlineStr">
        <is>
          <t>product</t>
        </is>
      </c>
      <c r="C451" s="8" t="inlineStr">
        <is>
          <t>Perel TeploPlast, 30 кг, белая, облегченная гипсовая штукатурка с перлитом</t>
        </is>
      </c>
      <c r="D451" s="8" t="inlineStr">
        <is>
          <t>Perel TeploPlast</t>
        </is>
      </c>
      <c r="E451" s="8" t="inlineStr">
        <is>
          <t>белая, 30 кг</t>
        </is>
      </c>
      <c r="F451" s="8" t="inlineStr">
        <is>
          <t>plaster_gypsum</t>
        </is>
      </c>
      <c r="G451" s="8" t="inlineStr">
        <is>
          <t>yes</t>
        </is>
      </c>
      <c r="H451" s="8" t="inlineStr">
        <is>
          <t>Экологически чистая штукатурная смесь повышающая звуко- и теплоизоляцию на основе природного гипса с использованием легкого минерального наполнителя (перлита) и специальных химических добавок, для выравнивания значительных перепадов потолков и стен из бетона, газобетона, кирпича и каменных поверхностей ручным способом, внутри жилых и общественных сухих помещений с нормальным уровнем влажности.</t>
        </is>
      </c>
      <c r="I451" s="8" t="inlineStr">
        <is>
          <t>Бумажные крафт-мешки по 30 кг.</t>
        </is>
      </c>
      <c r="J451" s="8" t="inlineStr"/>
      <c r="K451" s="8" t="inlineStr">
        <is>
          <t>В наличии</t>
        </is>
      </c>
      <c r="L451" s="8" t="inlineStr">
        <is>
          <t>https://td-perel.ru/catalog/gipsovaya-shtukaturka/gipsovaya-shtukaturka-oblegchennaya-perel-teploplast-belaya-30kg/</t>
        </is>
      </c>
    </row>
    <row r="452">
      <c r="A452" s="8" t="inlineStr">
        <is>
          <t>Perel</t>
        </is>
      </c>
      <c r="B452" s="8" t="inlineStr">
        <is>
          <t>product</t>
        </is>
      </c>
      <c r="C452" s="8" t="inlineStr">
        <is>
          <t>Perel TeploRob, 20 кг, легкая цементная штукатурка с перлитом</t>
        </is>
      </c>
      <c r="D452" s="8" t="inlineStr">
        <is>
          <t>Perel TeploRob</t>
        </is>
      </c>
      <c r="E452" s="8" t="inlineStr">
        <is>
          <t>20 кг</t>
        </is>
      </c>
      <c r="F452" s="8" t="inlineStr">
        <is>
          <t>plaster_cement</t>
        </is>
      </c>
      <c r="G452" s="8" t="inlineStr">
        <is>
          <t>yes</t>
        </is>
      </c>
      <c r="H452" s="8" t="inlineStr">
        <is>
          <t>Лёгкая штукатурная смесь на основе цементно-известкового вяжущего и легкого минерального наполнителя (перлита) для выравнивания стен из бетона, кирпича, газобетона, а также заделки стыков и отдельных неровностей бетонных и железобетонных плит в сухих, влажных помещениях и для наружных работ.</t>
        </is>
      </c>
      <c r="I452" s="8" t="inlineStr">
        <is>
          <t>Бумажные крафт-мешки по 20 кг.</t>
        </is>
      </c>
      <c r="J452" s="8" t="inlineStr">
        <is>
          <t>11-12 кг/м² при толщине слоя 10 мм.</t>
        </is>
      </c>
      <c r="K452" s="8" t="inlineStr">
        <is>
          <t>В наличии</t>
        </is>
      </c>
      <c r="L452" s="8" t="inlineStr">
        <is>
          <t>https://td-perel.ru/catalog/tsementnaya-shtukaturka/tsementno-izvestkovaya-shtukaturka-perel-teplorob-20-kg/</t>
        </is>
      </c>
    </row>
    <row r="453">
      <c r="A453" s="8" t="inlineStr">
        <is>
          <t>Perel</t>
        </is>
      </c>
      <c r="B453" s="8" t="inlineStr">
        <is>
          <t>product</t>
        </is>
      </c>
      <c r="C453" s="8" t="inlineStr">
        <is>
          <t>Perel TeploRob TR, 35 кг, облегченная цементная штукатурка с перлитом</t>
        </is>
      </c>
      <c r="D453" s="8" t="inlineStr">
        <is>
          <t>Perel TeploRob TR</t>
        </is>
      </c>
      <c r="E453" s="8" t="inlineStr">
        <is>
          <t>35 кг</t>
        </is>
      </c>
      <c r="F453" s="8" t="inlineStr">
        <is>
          <t>plaster_cement</t>
        </is>
      </c>
      <c r="G453" s="8" t="inlineStr">
        <is>
          <t>yes</t>
        </is>
      </c>
      <c r="H453" s="8" t="inlineStr">
        <is>
          <t>Облегченная штукатурная смесь на основе цементно-известкового вяжущего и легкого минерального наполнителя (перлита) для выравнивания стен из бетона, кирпича, газобетона, а также заделки стыков и отдельных неровностей бетонных и железобетонных плит в сухих, влажных помещениях и для наружных работ.</t>
        </is>
      </c>
      <c r="I453" s="8" t="inlineStr">
        <is>
          <t>Бумажные крафт-мешки по 35 кг.</t>
        </is>
      </c>
      <c r="J453" s="8" t="inlineStr">
        <is>
          <t>12-13 кг/м² при толщине слоя 10 мм.</t>
        </is>
      </c>
      <c r="K453" s="8" t="inlineStr">
        <is>
          <t>В наличии</t>
        </is>
      </c>
      <c r="L453" s="8" t="inlineStr">
        <is>
          <t>https://td-perel.ru/catalog/tsementnaya-shtukaturka/oblegchennaya-tsementno-izvestkovaya-shtukaturka-perel-teplorob-tr-35-kg/</t>
        </is>
      </c>
    </row>
    <row r="454">
      <c r="A454" s="8" t="inlineStr">
        <is>
          <t>Perel</t>
        </is>
      </c>
      <c r="B454" s="8" t="inlineStr">
        <is>
          <t>product</t>
        </is>
      </c>
      <c r="C454" s="8" t="inlineStr">
        <is>
          <t>Perel Termix, 25 кг, штукатурно-клеевая смесь</t>
        </is>
      </c>
      <c r="D454" s="8" t="inlineStr">
        <is>
          <t>Perel Termix</t>
        </is>
      </c>
      <c r="E454" s="8" t="inlineStr">
        <is>
          <t>серый, 25 кг</t>
        </is>
      </c>
      <c r="F454" s="8" t="inlineStr">
        <is>
          <t>etics_adhesive_base</t>
        </is>
      </c>
      <c r="G454" s="8" t="inlineStr">
        <is>
          <t>yes</t>
        </is>
      </c>
      <c r="H454" s="8" t="inlineStr">
        <is>
          <t>Специализированная сухая смесь на основе цементного вяжущего, минеральных и полимерных добавок для монтажа плит утеплителя по любым недеформируемым основаниям, а также для устройства армирующего слоя с использованием щёлочестойкой сетки с плотностью не ниже 145 гр/м².</t>
        </is>
      </c>
      <c r="I454" s="8" t="inlineStr">
        <is>
          <t>Бумажные крафт-мешки по 25 кг.</t>
        </is>
      </c>
      <c r="J454" s="8" t="inlineStr">
        <is>
          <t>в среднем 1,6-1,8 кг/м²</t>
        </is>
      </c>
      <c r="K454" s="8" t="inlineStr">
        <is>
          <t>В наличии</t>
        </is>
      </c>
      <c r="L454" s="8" t="inlineStr">
        <is>
          <t>https://td-perel.ru/catalog/montazhnyy-kley/kleevaya-smes-perel-termix/</t>
        </is>
      </c>
    </row>
    <row r="455">
      <c r="A455" s="8" t="inlineStr">
        <is>
          <t>Perel</t>
        </is>
      </c>
      <c r="B455" s="8" t="inlineStr">
        <is>
          <t>product</t>
        </is>
      </c>
      <c r="C455" s="8" t="inlineStr">
        <is>
          <t>Perel Termix-M, 25 кг, штукатурно-клеевая смесь</t>
        </is>
      </c>
      <c r="D455" s="8" t="inlineStr">
        <is>
          <t>Perel Termix-M</t>
        </is>
      </c>
      <c r="E455" s="8" t="inlineStr">
        <is>
          <t>серый, 25 кг</t>
        </is>
      </c>
      <c r="F455" s="8" t="inlineStr">
        <is>
          <t>etics_adhesive_base</t>
        </is>
      </c>
      <c r="G455" s="8" t="inlineStr">
        <is>
          <t>yes</t>
        </is>
      </c>
      <c r="H455" s="8" t="inlineStr">
        <is>
          <t>Специализированная сухая смесь на основе цементного вяжущего, минеральных и полимерных добавок для монтажа плит утеплителя по любым недеформируемым основаниям, а также для устройства армирующего слоя с использованием щёлочестойкой сетки с плотностью не ниже 145 гр/м².</t>
        </is>
      </c>
      <c r="I455" s="8" t="inlineStr">
        <is>
          <t>Бумажные крафт-мешки по 25 кг.</t>
        </is>
      </c>
      <c r="J455" s="8" t="inlineStr">
        <is>
          <t>в среднем 1,6-1,8 кг/м²</t>
        </is>
      </c>
      <c r="K455" s="8" t="inlineStr">
        <is>
          <t>В наличии</t>
        </is>
      </c>
      <c r="L455" s="8" t="inlineStr">
        <is>
          <t>https://td-perel.ru/catalog/montazhnyy-kley/kleevaya-smes-perel-termix-m/</t>
        </is>
      </c>
    </row>
    <row r="456">
      <c r="A456" s="8" t="inlineStr">
        <is>
          <t>Perel</t>
        </is>
      </c>
      <c r="B456" s="8" t="inlineStr">
        <is>
          <t>product</t>
        </is>
      </c>
      <c r="C456" s="8" t="inlineStr">
        <is>
          <t>Perel Tintura, 14 кг, моющаяся акриловая краска</t>
        </is>
      </c>
      <c r="D456" s="8" t="inlineStr">
        <is>
          <t>Perel Tintura</t>
        </is>
      </c>
      <c r="E456" s="8" t="inlineStr">
        <is>
          <t>белая, 14 кг</t>
        </is>
      </c>
      <c r="F456" s="8" t="inlineStr">
        <is>
          <t>paint</t>
        </is>
      </c>
      <c r="G456" s="8" t="inlineStr">
        <is>
          <t>no</t>
        </is>
      </c>
      <c r="H456" s="8" t="inlineStr">
        <is>
          <t>Применяется для выполнения работ на ровных основаниях из бетона, кирпича, блоков, ГКЛ, ПГП, дерева, ДСП, ДВП, в местах с высокими эксплуатационными нагрузками, требующие частую влажную уборку.</t>
        </is>
      </c>
      <c r="I456" s="8" t="inlineStr">
        <is>
          <t>14 кг</t>
        </is>
      </c>
      <c r="J456" s="8" t="inlineStr"/>
      <c r="K456" s="8" t="inlineStr">
        <is>
          <t>В наличии</t>
        </is>
      </c>
      <c r="L456" s="8" t="inlineStr">
        <is>
          <t>https://td-perel.ru/catalog/kraski/perel-tintura/</t>
        </is>
      </c>
    </row>
    <row r="457">
      <c r="A457" s="8" t="inlineStr">
        <is>
          <t>Perel</t>
        </is>
      </c>
      <c r="B457" s="8" t="inlineStr">
        <is>
          <t>product</t>
        </is>
      </c>
      <c r="C457" s="8" t="inlineStr">
        <is>
          <t>Perel Uniprim, 10 л</t>
        </is>
      </c>
      <c r="D457" s="8" t="inlineStr">
        <is>
          <t>Perel Uniprim</t>
        </is>
      </c>
      <c r="E457" s="8" t="inlineStr">
        <is>
          <t>канистра 10 л</t>
        </is>
      </c>
      <c r="F457" s="8" t="inlineStr">
        <is>
          <t>primer</t>
        </is>
      </c>
      <c r="G457" s="8" t="inlineStr">
        <is>
          <t>no</t>
        </is>
      </c>
      <c r="H457" s="8" t="inlineStr">
        <is>
          <t>Готовая к применению эмульсия полимерного латекса на водной основе для выравнивания и снижения влагопоглощения поверхности, увеличения прочности сцепления между основанием и последующим к нанесению материалом, существенно снижая его расход.</t>
        </is>
      </c>
      <c r="I457" s="8" t="inlineStr">
        <is>
          <t>Пластиковая канистра 10 л</t>
        </is>
      </c>
      <c r="J457" s="8" t="inlineStr"/>
      <c r="K457" s="8" t="inlineStr">
        <is>
          <t>В наличии</t>
        </is>
      </c>
      <c r="L457" s="8" t="inlineStr">
        <is>
          <t>https://td-perel.ru/catalog/gruntovka/perel-uniprim/</t>
        </is>
      </c>
    </row>
    <row r="458">
      <c r="A458" s="8" t="inlineStr">
        <is>
          <t>Perel</t>
        </is>
      </c>
      <c r="B458" s="8" t="inlineStr">
        <is>
          <t>product</t>
        </is>
      </c>
      <c r="C458" s="8" t="inlineStr">
        <is>
          <t>Бежевая кладочная смесь Perel VL 25 кг</t>
        </is>
      </c>
      <c r="D458" s="8" t="inlineStr">
        <is>
          <t>Perel VL</t>
        </is>
      </c>
      <c r="E458" s="8" t="inlineStr">
        <is>
          <t>бежевый, 25 кг</t>
        </is>
      </c>
      <c r="F458" s="8" t="inlineStr">
        <is>
          <t>masonry_colored</t>
        </is>
      </c>
      <c r="G458" s="8" t="inlineStr">
        <is>
          <t>yes</t>
        </is>
      </c>
      <c r="H458" s="8" t="inlineStr">
        <is>
          <t>Цветная смесь Perel VL 0220 для кладки облицовочного кирпича с высоким водопоглощением от 5 до 17% (кирпич ручной формовки и т.п.).</t>
        </is>
      </c>
      <c r="I458" s="8" t="inlineStr">
        <is>
          <t>фасовка 25 кг</t>
        </is>
      </c>
      <c r="J458" s="8" t="inlineStr"/>
      <c r="K458" s="8" t="inlineStr">
        <is>
          <t>В наличии</t>
        </is>
      </c>
      <c r="L458" s="8" t="inlineStr">
        <is>
          <t>https://td-perel.ru/catalog/perel-vl/bezhevaya-kladochnaya-smes-perel-vl-25-kg/</t>
        </is>
      </c>
    </row>
    <row r="459">
      <c r="A459" s="8" t="inlineStr">
        <is>
          <t>Perel</t>
        </is>
      </c>
      <c r="B459" s="8" t="inlineStr">
        <is>
          <t>product</t>
        </is>
      </c>
      <c r="C459" s="8" t="inlineStr">
        <is>
          <t>Бежевая кладочная смесь Perel VL 50 кг</t>
        </is>
      </c>
      <c r="D459" s="8" t="inlineStr">
        <is>
          <t>Perel VL</t>
        </is>
      </c>
      <c r="E459" s="8" t="inlineStr">
        <is>
          <t>бежевый, 50 кг</t>
        </is>
      </c>
      <c r="F459" s="8" t="inlineStr">
        <is>
          <t>masonry_colored</t>
        </is>
      </c>
      <c r="G459" s="8" t="inlineStr">
        <is>
          <t>yes</t>
        </is>
      </c>
      <c r="H459" s="8" t="inlineStr">
        <is>
          <t>Цветная смесь Perel VL 0220 для кладки облицовочного кирпича с высоким водопоглощением от 5 до 17% (кирпич ручной формовки и т.п.).</t>
        </is>
      </c>
      <c r="I459" s="8" t="inlineStr">
        <is>
          <t>фасовка 50 кг</t>
        </is>
      </c>
      <c r="J459" s="8" t="inlineStr"/>
      <c r="K459" s="8" t="inlineStr">
        <is>
          <t>В наличии</t>
        </is>
      </c>
      <c r="L459" s="8" t="inlineStr">
        <is>
          <t>https://td-perel.ru/catalog/perel-vl/bezhevaya-kladochnaya-smes-perel-vl-50-kg/</t>
        </is>
      </c>
    </row>
    <row r="460">
      <c r="A460" s="8" t="inlineStr">
        <is>
          <t>Perel</t>
        </is>
      </c>
      <c r="B460" s="8" t="inlineStr">
        <is>
          <t>product</t>
        </is>
      </c>
      <c r="C460" s="8" t="inlineStr">
        <is>
          <t>Белая кладочная смесь Perel VL 0205, 25 кг</t>
        </is>
      </c>
      <c r="D460" s="8" t="inlineStr">
        <is>
          <t>Perel VL</t>
        </is>
      </c>
      <c r="E460" s="8" t="inlineStr">
        <is>
          <t>белый, 25 кг</t>
        </is>
      </c>
      <c r="F460" s="8" t="inlineStr">
        <is>
          <t>masonry_colored</t>
        </is>
      </c>
      <c r="G460" s="8" t="inlineStr">
        <is>
          <t>yes</t>
        </is>
      </c>
      <c r="H460" s="8" t="inlineStr">
        <is>
          <t>Цветная смесь Perel VL 0205 для кладки облицовочного кирпича с высоким водопоглощением от 5 до 17% (кирпич ручной формовки и т.п.).</t>
        </is>
      </c>
      <c r="I460" s="8" t="inlineStr">
        <is>
          <t>фасовка 25 кг</t>
        </is>
      </c>
      <c r="J460" s="8" t="inlineStr"/>
      <c r="K460" s="8" t="inlineStr">
        <is>
          <t>В наличии</t>
        </is>
      </c>
      <c r="L460" s="8" t="inlineStr">
        <is>
          <t>https://td-perel.ru/catalog/perel-vl/belaya-kladochnaya-smes-perel-vl-25-kg/</t>
        </is>
      </c>
    </row>
    <row r="461">
      <c r="A461" s="8" t="inlineStr">
        <is>
          <t>Perel</t>
        </is>
      </c>
      <c r="B461" s="8" t="inlineStr">
        <is>
          <t>product</t>
        </is>
      </c>
      <c r="C461" s="8" t="inlineStr">
        <is>
          <t>Белая кладочная смесь Perel VL 0205, 50 кг</t>
        </is>
      </c>
      <c r="D461" s="8" t="inlineStr">
        <is>
          <t>Perel VL</t>
        </is>
      </c>
      <c r="E461" s="8" t="inlineStr">
        <is>
          <t>белый, 50 кг</t>
        </is>
      </c>
      <c r="F461" s="8" t="inlineStr">
        <is>
          <t>masonry_colored</t>
        </is>
      </c>
      <c r="G461" s="8" t="inlineStr">
        <is>
          <t>yes</t>
        </is>
      </c>
      <c r="H461" s="8" t="inlineStr">
        <is>
          <t>Цветная смесь Perel VL 0205 для кладки облицовочного кирпича с высоким водопоглощением от 5 до 17% (кирпич ручной формовки и т.п.).</t>
        </is>
      </c>
      <c r="I461" s="8" t="inlineStr">
        <is>
          <t>фасовка 50 кг</t>
        </is>
      </c>
      <c r="J461" s="8" t="inlineStr"/>
      <c r="K461" s="8" t="inlineStr">
        <is>
          <t>В наличии</t>
        </is>
      </c>
      <c r="L461" s="8" t="inlineStr">
        <is>
          <t>https://td-perel.ru/catalog/perel-vl/belaya-kladochnaya-smes-perel-vl-50-kg/</t>
        </is>
      </c>
    </row>
    <row r="462">
      <c r="A462" s="8" t="inlineStr">
        <is>
          <t>Perel</t>
        </is>
      </c>
      <c r="B462" s="8" t="inlineStr">
        <is>
          <t>product</t>
        </is>
      </c>
      <c r="C462" s="8" t="inlineStr">
        <is>
          <t>Желтая кладочная смесь Perel VL 25 кг</t>
        </is>
      </c>
      <c r="D462" s="8" t="inlineStr">
        <is>
          <t>Perel VL</t>
        </is>
      </c>
      <c r="E462" s="8" t="inlineStr">
        <is>
          <t>желтый, 25 кг</t>
        </is>
      </c>
      <c r="F462" s="8" t="inlineStr">
        <is>
          <t>masonry_colored</t>
        </is>
      </c>
      <c r="G462" s="8" t="inlineStr">
        <is>
          <t>yes</t>
        </is>
      </c>
      <c r="H462" s="8" t="inlineStr">
        <is>
          <t>Цветная смесь Perel VL 0235 для кладки облицовочного кирпича с высоким водопоглощением от 5 до 17% (кирпич ручной формовки и т.п.).</t>
        </is>
      </c>
      <c r="I462" s="8" t="inlineStr">
        <is>
          <t>фасовка 25 кг</t>
        </is>
      </c>
      <c r="J462" s="8" t="inlineStr"/>
      <c r="K462" s="8" t="inlineStr">
        <is>
          <t>В наличии</t>
        </is>
      </c>
      <c r="L462" s="8" t="inlineStr">
        <is>
          <t>https://td-perel.ru/catalog/perel-vl/zheltaya-kladochnaya-smes-perel-vl-25-kg/</t>
        </is>
      </c>
    </row>
    <row r="463">
      <c r="A463" s="8" t="inlineStr">
        <is>
          <t>Perel</t>
        </is>
      </c>
      <c r="B463" s="8" t="inlineStr">
        <is>
          <t>product</t>
        </is>
      </c>
      <c r="C463" s="8" t="inlineStr">
        <is>
          <t>Желтая кладочная смесь Perel VL 50 кг</t>
        </is>
      </c>
      <c r="D463" s="8" t="inlineStr">
        <is>
          <t>Perel VL</t>
        </is>
      </c>
      <c r="E463" s="8" t="inlineStr">
        <is>
          <t>желтый, 50 кг</t>
        </is>
      </c>
      <c r="F463" s="8" t="inlineStr">
        <is>
          <t>masonry_colored</t>
        </is>
      </c>
      <c r="G463" s="8" t="inlineStr">
        <is>
          <t>yes</t>
        </is>
      </c>
      <c r="H463" s="8" t="inlineStr">
        <is>
          <t>Цветная смесь Perel VL 0235 для кладки облицовочного кирпича с высоким водопоглощением от 5 до 17% (кирпич ручной формовки и т.п.).</t>
        </is>
      </c>
      <c r="I463" s="8" t="inlineStr">
        <is>
          <t>фасовка 50 кг</t>
        </is>
      </c>
      <c r="J463" s="8" t="inlineStr"/>
      <c r="K463" s="8" t="inlineStr">
        <is>
          <t>В наличии</t>
        </is>
      </c>
      <c r="L463" s="8" t="inlineStr">
        <is>
          <t>https://td-perel.ru/catalog/perel-vl/zheltaya-kladochnaya-smes-perel-vl-50-kg/</t>
        </is>
      </c>
    </row>
    <row r="464">
      <c r="A464" s="8" t="inlineStr">
        <is>
          <t>Perel</t>
        </is>
      </c>
      <c r="B464" s="8" t="inlineStr">
        <is>
          <t>product</t>
        </is>
      </c>
      <c r="C464" s="8" t="inlineStr">
        <is>
          <t>Коричневая кладочная смесь Perel VL 25 кг</t>
        </is>
      </c>
      <c r="D464" s="8" t="inlineStr">
        <is>
          <t>Perel VL</t>
        </is>
      </c>
      <c r="E464" s="8" t="inlineStr">
        <is>
          <t>коричневый, 25 кг</t>
        </is>
      </c>
      <c r="F464" s="8" t="inlineStr">
        <is>
          <t>masonry_colored</t>
        </is>
      </c>
      <c r="G464" s="8" t="inlineStr">
        <is>
          <t>yes</t>
        </is>
      </c>
      <c r="H464" s="8" t="inlineStr">
        <is>
          <t>Цветная смесь Perel VL 0250 для кладки облицовочного кирпича с высоким водопоглощением от 5 до 17% (кирпич ручной формовки и т.п.).</t>
        </is>
      </c>
      <c r="I464" s="8" t="inlineStr">
        <is>
          <t>фасовка 25 кг</t>
        </is>
      </c>
      <c r="J464" s="8" t="inlineStr"/>
      <c r="K464" s="8" t="inlineStr">
        <is>
          <t>В наличии</t>
        </is>
      </c>
      <c r="L464" s="8" t="inlineStr">
        <is>
          <t>https://td-perel.ru/catalog/perel-vl/korichnevaya-kladochnaya-smes-perel-vl-25-kg/</t>
        </is>
      </c>
    </row>
    <row r="465">
      <c r="A465" s="8" t="inlineStr">
        <is>
          <t>Perel</t>
        </is>
      </c>
      <c r="B465" s="8" t="inlineStr">
        <is>
          <t>product</t>
        </is>
      </c>
      <c r="C465" s="8" t="inlineStr">
        <is>
          <t>Коричневая кладочная смесь Perel VL 50 кг</t>
        </is>
      </c>
      <c r="D465" s="8" t="inlineStr">
        <is>
          <t>Perel VL</t>
        </is>
      </c>
      <c r="E465" s="8" t="inlineStr">
        <is>
          <t>коричневый, 50 кг</t>
        </is>
      </c>
      <c r="F465" s="8" t="inlineStr">
        <is>
          <t>masonry_colored</t>
        </is>
      </c>
      <c r="G465" s="8" t="inlineStr">
        <is>
          <t>yes</t>
        </is>
      </c>
      <c r="H465" s="8" t="inlineStr">
        <is>
          <t>Цветная смесь Perel VL 0250 для кладки облицовочного кирпича с высоким водопоглощением от 5 до 17% (кирпич ручной формовки и т.п.).</t>
        </is>
      </c>
      <c r="I465" s="8" t="inlineStr">
        <is>
          <t>фасовка 50 кг</t>
        </is>
      </c>
      <c r="J465" s="8" t="inlineStr"/>
      <c r="K465" s="8" t="inlineStr">
        <is>
          <t>В наличии</t>
        </is>
      </c>
      <c r="L465" s="8" t="inlineStr">
        <is>
          <t>https://td-perel.ru/catalog/perel-vl/korichnevaya-kladochnaya-smes-perel-vl-50-kg/</t>
        </is>
      </c>
    </row>
    <row r="466">
      <c r="A466" s="8" t="inlineStr">
        <is>
          <t>Perel</t>
        </is>
      </c>
      <c r="B466" s="8" t="inlineStr">
        <is>
          <t>product</t>
        </is>
      </c>
      <c r="C466" s="8" t="inlineStr">
        <is>
          <t>Красная кладочная смесь Perel VL 25 кг</t>
        </is>
      </c>
      <c r="D466" s="8" t="inlineStr">
        <is>
          <t>Perel VL</t>
        </is>
      </c>
      <c r="E466" s="8" t="inlineStr">
        <is>
          <t>красный, 25 кг</t>
        </is>
      </c>
      <c r="F466" s="8" t="inlineStr">
        <is>
          <t>masonry_colored</t>
        </is>
      </c>
      <c r="G466" s="8" t="inlineStr">
        <is>
          <t>yes</t>
        </is>
      </c>
      <c r="H466" s="8" t="inlineStr">
        <is>
          <t>Цветная смесь Perel VL 0260 для кладки облицовочного кирпича с высоким водопоглощением от 5 до 17% (кирпич ручной формовки и т.п.).</t>
        </is>
      </c>
      <c r="I466" s="8" t="inlineStr">
        <is>
          <t>фасовка 25 кг</t>
        </is>
      </c>
      <c r="J466" s="8" t="inlineStr"/>
      <c r="K466" s="8" t="inlineStr">
        <is>
          <t>В наличии</t>
        </is>
      </c>
      <c r="L466" s="8" t="inlineStr">
        <is>
          <t>https://td-perel.ru/catalog/perel-vl/krasnaya-kladochnaya-smes-perel-vl-25-kg/</t>
        </is>
      </c>
    </row>
    <row r="467">
      <c r="A467" s="8" t="inlineStr">
        <is>
          <t>Perel</t>
        </is>
      </c>
      <c r="B467" s="8" t="inlineStr">
        <is>
          <t>product</t>
        </is>
      </c>
      <c r="C467" s="8" t="inlineStr">
        <is>
          <t>Красная кладочная смесь Perel VL 50 кг</t>
        </is>
      </c>
      <c r="D467" s="8" t="inlineStr">
        <is>
          <t>Perel VL</t>
        </is>
      </c>
      <c r="E467" s="8" t="inlineStr">
        <is>
          <t>красный, 50 кг</t>
        </is>
      </c>
      <c r="F467" s="8" t="inlineStr">
        <is>
          <t>masonry_colored</t>
        </is>
      </c>
      <c r="G467" s="8" t="inlineStr">
        <is>
          <t>yes</t>
        </is>
      </c>
      <c r="H467" s="8" t="inlineStr">
        <is>
          <t>Цветная смесь Perel VL 0260 для кладки облицовочного кирпича с высоким водопоглощением от 5 до 17% (кирпич ручной формовки и т.п.).</t>
        </is>
      </c>
      <c r="I467" s="8" t="inlineStr">
        <is>
          <t>фасовка 50 кг</t>
        </is>
      </c>
      <c r="J467" s="8" t="inlineStr"/>
      <c r="K467" s="8" t="inlineStr">
        <is>
          <t>В наличии</t>
        </is>
      </c>
      <c r="L467" s="8" t="inlineStr">
        <is>
          <t>https://td-perel.ru/catalog/perel-vl/krasnaya-kladochnaya-smes-perel-vl-50-kg/</t>
        </is>
      </c>
    </row>
    <row r="468">
      <c r="A468" s="8" t="inlineStr">
        <is>
          <t>Perel</t>
        </is>
      </c>
      <c r="B468" s="8" t="inlineStr">
        <is>
          <t>product</t>
        </is>
      </c>
      <c r="C468" s="8" t="inlineStr">
        <is>
          <t>Кремово-бежевая кладочная смесь Perel VL 25 кг</t>
        </is>
      </c>
      <c r="D468" s="8" t="inlineStr">
        <is>
          <t>Perel VL</t>
        </is>
      </c>
      <c r="E468" s="8" t="inlineStr">
        <is>
          <t>кремово-бежевый, 25 кг</t>
        </is>
      </c>
      <c r="F468" s="8" t="inlineStr">
        <is>
          <t>masonry_colored</t>
        </is>
      </c>
      <c r="G468" s="8" t="inlineStr">
        <is>
          <t>yes</t>
        </is>
      </c>
      <c r="H468" s="8" t="inlineStr">
        <is>
          <t>Цветная смесь Perel VL 0225 для кладки облицовочного кирпича с высоким водопоглощением от 5 до 17% (кирпич ручной формовки и т.п.).</t>
        </is>
      </c>
      <c r="I468" s="8" t="inlineStr">
        <is>
          <t>фасовка 25 кг</t>
        </is>
      </c>
      <c r="J468" s="8" t="inlineStr"/>
      <c r="K468" s="8" t="inlineStr">
        <is>
          <t>В наличии</t>
        </is>
      </c>
      <c r="L468" s="8" t="inlineStr">
        <is>
          <t>https://td-perel.ru/catalog/perel-vl/kremovo-bezhevaya-kladochnaya-smes-perel-vl-25-kg/</t>
        </is>
      </c>
    </row>
    <row r="469">
      <c r="A469" s="8" t="inlineStr">
        <is>
          <t>Perel</t>
        </is>
      </c>
      <c r="B469" s="8" t="inlineStr">
        <is>
          <t>product</t>
        </is>
      </c>
      <c r="C469" s="8" t="inlineStr">
        <is>
          <t>Кремово-бежевая кладочная смесь Perel VL 50 кг</t>
        </is>
      </c>
      <c r="D469" s="8" t="inlineStr">
        <is>
          <t>Perel VL</t>
        </is>
      </c>
      <c r="E469" s="8" t="inlineStr">
        <is>
          <t>кремово-бежевый, 50 кг</t>
        </is>
      </c>
      <c r="F469" s="8" t="inlineStr">
        <is>
          <t>masonry_colored</t>
        </is>
      </c>
      <c r="G469" s="8" t="inlineStr">
        <is>
          <t>yes</t>
        </is>
      </c>
      <c r="H469" s="8" t="inlineStr">
        <is>
          <t>Цветная смесь Perel VL 0225 для кладки облицовочного кирпича с высоким водопоглощением от 5 до 17% (кирпич ручной формовки и т.п.).</t>
        </is>
      </c>
      <c r="I469" s="8" t="inlineStr">
        <is>
          <t>фасовка 50 кг</t>
        </is>
      </c>
      <c r="J469" s="8" t="inlineStr"/>
      <c r="K469" s="8" t="inlineStr">
        <is>
          <t>В наличии</t>
        </is>
      </c>
      <c r="L469" s="8" t="inlineStr">
        <is>
          <t>https://td-perel.ru/catalog/perel-vl/kremovo-bezhevaya-kladochnaya-smes-perel-vl-50-kg/</t>
        </is>
      </c>
    </row>
    <row r="470">
      <c r="A470" s="8" t="inlineStr">
        <is>
          <t>Perel</t>
        </is>
      </c>
      <c r="B470" s="8" t="inlineStr">
        <is>
          <t>product</t>
        </is>
      </c>
      <c r="C470" s="8" t="inlineStr">
        <is>
          <t>Кремово-желтая кладочная смесь Perel VL 25 кг</t>
        </is>
      </c>
      <c r="D470" s="8" t="inlineStr">
        <is>
          <t>Perel VL</t>
        </is>
      </c>
      <c r="E470" s="8" t="inlineStr">
        <is>
          <t>кремово-желтый, 25 кг</t>
        </is>
      </c>
      <c r="F470" s="8" t="inlineStr">
        <is>
          <t>masonry_colored</t>
        </is>
      </c>
      <c r="G470" s="8" t="inlineStr">
        <is>
          <t>yes</t>
        </is>
      </c>
      <c r="H470" s="8" t="inlineStr">
        <is>
          <t>Цветная смесь Perel VL 0230 для кладки облицовочного кирпича с высоким водопоглощением от 5 до 17% (кирпич ручной формовки и т.п.).</t>
        </is>
      </c>
      <c r="I470" s="8" t="inlineStr">
        <is>
          <t>фасовка 25 кг</t>
        </is>
      </c>
      <c r="J470" s="8" t="inlineStr"/>
      <c r="K470" s="8" t="inlineStr">
        <is>
          <t>В наличии</t>
        </is>
      </c>
      <c r="L470" s="8" t="inlineStr">
        <is>
          <t>https://td-perel.ru/catalog/perel-vl/kremovo-zheltaya-kladochnaya-smes-perel-vl-25-kg/</t>
        </is>
      </c>
    </row>
    <row r="471">
      <c r="A471" s="8" t="inlineStr">
        <is>
          <t>Perel</t>
        </is>
      </c>
      <c r="B471" s="8" t="inlineStr">
        <is>
          <t>product</t>
        </is>
      </c>
      <c r="C471" s="8" t="inlineStr">
        <is>
          <t>Кремово-желтая кладочная смесь Perel VL 50 кг</t>
        </is>
      </c>
      <c r="D471" s="8" t="inlineStr">
        <is>
          <t>Perel VL</t>
        </is>
      </c>
      <c r="E471" s="8" t="inlineStr">
        <is>
          <t>кремово-желтый, 50 кг</t>
        </is>
      </c>
      <c r="F471" s="8" t="inlineStr">
        <is>
          <t>masonry_colored</t>
        </is>
      </c>
      <c r="G471" s="8" t="inlineStr">
        <is>
          <t>yes</t>
        </is>
      </c>
      <c r="H471" s="8" t="inlineStr">
        <is>
          <t>Цветная смесь Perel VL 0230 для кладки облицовочного кирпича с высоким водопоглощением от 5 до 17% (кирпич ручной формовки и т.п.).</t>
        </is>
      </c>
      <c r="I471" s="8" t="inlineStr">
        <is>
          <t>фасовка 50 кг</t>
        </is>
      </c>
      <c r="J471" s="8" t="inlineStr"/>
      <c r="K471" s="8" t="inlineStr">
        <is>
          <t>В наличии</t>
        </is>
      </c>
      <c r="L471" s="8" t="inlineStr">
        <is>
          <t>https://td-perel.ru/catalog/perel-vl/kremovo-zheltaya-kladochnaya-smes-perel-vl-50-kg/</t>
        </is>
      </c>
    </row>
    <row r="472">
      <c r="A472" s="8" t="inlineStr">
        <is>
          <t>Perel</t>
        </is>
      </c>
      <c r="B472" s="8" t="inlineStr">
        <is>
          <t>product</t>
        </is>
      </c>
      <c r="C472" s="8" t="inlineStr">
        <is>
          <t>Кремовая кладочная смесь Perel VL 25 кг</t>
        </is>
      </c>
      <c r="D472" s="8" t="inlineStr">
        <is>
          <t>Perel VL</t>
        </is>
      </c>
      <c r="E472" s="8" t="inlineStr">
        <is>
          <t>кремовый, 25 кг</t>
        </is>
      </c>
      <c r="F472" s="8" t="inlineStr">
        <is>
          <t>masonry_colored</t>
        </is>
      </c>
      <c r="G472" s="8" t="inlineStr">
        <is>
          <t>yes</t>
        </is>
      </c>
      <c r="H472" s="8" t="inlineStr">
        <is>
          <t>Цветная смесь Perel VL 0240 для кладки облицовочного кирпича с высоким водопоглощением от 5 до 17% (кирпич ручной формовки и т.п.).</t>
        </is>
      </c>
      <c r="I472" s="8" t="inlineStr">
        <is>
          <t>фасовка 25 кг</t>
        </is>
      </c>
      <c r="J472" s="8" t="inlineStr"/>
      <c r="K472" s="8" t="inlineStr">
        <is>
          <t>В наличии</t>
        </is>
      </c>
      <c r="L472" s="8" t="inlineStr">
        <is>
          <t>https://td-perel.ru/catalog/perel-vl/kremovaya-kladochnaya-smes-perel-vl-25-kg/</t>
        </is>
      </c>
    </row>
    <row r="473">
      <c r="A473" s="8" t="inlineStr">
        <is>
          <t>Perel</t>
        </is>
      </c>
      <c r="B473" s="8" t="inlineStr">
        <is>
          <t>product</t>
        </is>
      </c>
      <c r="C473" s="8" t="inlineStr">
        <is>
          <t>Кремовая кладочная смесь Perel VL 50 кг</t>
        </is>
      </c>
      <c r="D473" s="8" t="inlineStr">
        <is>
          <t>Perel VL</t>
        </is>
      </c>
      <c r="E473" s="8" t="inlineStr">
        <is>
          <t>кремовый, 50 кг</t>
        </is>
      </c>
      <c r="F473" s="8" t="inlineStr">
        <is>
          <t>masonry_colored</t>
        </is>
      </c>
      <c r="G473" s="8" t="inlineStr">
        <is>
          <t>yes</t>
        </is>
      </c>
      <c r="H473" s="8" t="inlineStr">
        <is>
          <t>Цветная смесь Perel VL 0240 для кладки облицовочного кирпича с высоким водопоглощением от 5 до 17% (кирпич ручной формовки и т.п.).</t>
        </is>
      </c>
      <c r="I473" s="8" t="inlineStr">
        <is>
          <t>фасовка 50 кг</t>
        </is>
      </c>
      <c r="J473" s="8" t="inlineStr"/>
      <c r="K473" s="8" t="inlineStr">
        <is>
          <t>В наличии</t>
        </is>
      </c>
      <c r="L473" s="8" t="inlineStr">
        <is>
          <t>https://td-perel.ru/catalog/perel-vl/kremovaya-kladochnaya-smes-perel-vl-50-kg/</t>
        </is>
      </c>
    </row>
    <row r="474">
      <c r="A474" s="8" t="inlineStr">
        <is>
          <t>Perel</t>
        </is>
      </c>
      <c r="B474" s="8" t="inlineStr">
        <is>
          <t>product</t>
        </is>
      </c>
      <c r="C474" s="8" t="inlineStr">
        <is>
          <t>Светло-коричневая кладочная смесь Perel VL 25 кг</t>
        </is>
      </c>
      <c r="D474" s="8" t="inlineStr">
        <is>
          <t>Perel VL</t>
        </is>
      </c>
      <c r="E474" s="8" t="inlineStr">
        <is>
          <t>светло-коричневый, 25 кг</t>
        </is>
      </c>
      <c r="F474" s="8" t="inlineStr">
        <is>
          <t>masonry_colored</t>
        </is>
      </c>
      <c r="G474" s="8" t="inlineStr">
        <is>
          <t>yes</t>
        </is>
      </c>
      <c r="H474" s="8" t="inlineStr">
        <is>
          <t>Цветная смесь Perel VL 0245 для кладки облицовочного кирпича с высоким водопоглощением от 5 до 17% (кирпич ручной формовки и т.п.).</t>
        </is>
      </c>
      <c r="I474" s="8" t="inlineStr">
        <is>
          <t>фасовка 25 кг</t>
        </is>
      </c>
      <c r="J474" s="8" t="inlineStr"/>
      <c r="K474" s="8" t="inlineStr">
        <is>
          <t>В наличии</t>
        </is>
      </c>
      <c r="L474" s="8" t="inlineStr">
        <is>
          <t>https://td-perel.ru/catalog/perel-vl/svetlo-korichnevaya-kladochnaya-smes-perel-vl-25-kg/</t>
        </is>
      </c>
    </row>
    <row r="475">
      <c r="A475" s="8" t="inlineStr">
        <is>
          <t>Perel</t>
        </is>
      </c>
      <c r="B475" s="8" t="inlineStr">
        <is>
          <t>product</t>
        </is>
      </c>
      <c r="C475" s="8" t="inlineStr">
        <is>
          <t>Светло-коричневая кладочная смесь Perel VL 50 кг</t>
        </is>
      </c>
      <c r="D475" s="8" t="inlineStr">
        <is>
          <t>Perel VL</t>
        </is>
      </c>
      <c r="E475" s="8" t="inlineStr">
        <is>
          <t>светло-коричневый, 50 кг</t>
        </is>
      </c>
      <c r="F475" s="8" t="inlineStr">
        <is>
          <t>masonry_colored</t>
        </is>
      </c>
      <c r="G475" s="8" t="inlineStr">
        <is>
          <t>yes</t>
        </is>
      </c>
      <c r="H475" s="8" t="inlineStr">
        <is>
          <t>Цветная смесь Perel VL 0245 для кладки облицовочного кирпича с высоким водопоглощением от 5 до 17% (кирпич ручной формовки и т.п.).</t>
        </is>
      </c>
      <c r="I475" s="8" t="inlineStr">
        <is>
          <t>фасовка 50 кг</t>
        </is>
      </c>
      <c r="J475" s="8" t="inlineStr"/>
      <c r="K475" s="8" t="inlineStr">
        <is>
          <t>В наличии</t>
        </is>
      </c>
      <c r="L475" s="8" t="inlineStr">
        <is>
          <t>https://td-perel.ru/catalog/perel-vl/svetlo-korichnevaya-kladochnaya-smes-perel-vl-50-kg/</t>
        </is>
      </c>
    </row>
    <row r="476">
      <c r="A476" s="8" t="inlineStr">
        <is>
          <t>Perel</t>
        </is>
      </c>
      <c r="B476" s="8" t="inlineStr">
        <is>
          <t>product</t>
        </is>
      </c>
      <c r="C476" s="8" t="inlineStr">
        <is>
          <t>Серая кладочная смесь Perel VL 25 кг</t>
        </is>
      </c>
      <c r="D476" s="8" t="inlineStr">
        <is>
          <t>Perel VL</t>
        </is>
      </c>
      <c r="E476" s="8" t="inlineStr">
        <is>
          <t>серый, 25 кг</t>
        </is>
      </c>
      <c r="F476" s="8" t="inlineStr">
        <is>
          <t>masonry_colored</t>
        </is>
      </c>
      <c r="G476" s="8" t="inlineStr">
        <is>
          <t>yes</t>
        </is>
      </c>
      <c r="H476" s="8" t="inlineStr">
        <is>
          <t>Цветная смесь Perel VL 0210 для кладки облицовочного кирпича с высоким водопоглощением от 5 до 17% (кирпич ручной формовки и т.п.).</t>
        </is>
      </c>
      <c r="I476" s="8" t="inlineStr">
        <is>
          <t>фасовка 25 кг</t>
        </is>
      </c>
      <c r="J476" s="8" t="inlineStr"/>
      <c r="K476" s="8" t="inlineStr">
        <is>
          <t>В наличии</t>
        </is>
      </c>
      <c r="L476" s="8" t="inlineStr">
        <is>
          <t>https://td-perel.ru/catalog/perel-vl/seraya-kladochnaya-smes-perel-vl-25-kg/</t>
        </is>
      </c>
    </row>
    <row r="477">
      <c r="A477" s="8" t="inlineStr">
        <is>
          <t>Perel</t>
        </is>
      </c>
      <c r="B477" s="8" t="inlineStr">
        <is>
          <t>product</t>
        </is>
      </c>
      <c r="C477" s="8" t="inlineStr">
        <is>
          <t>Серая кладочная смесь Perel VL 50 кг</t>
        </is>
      </c>
      <c r="D477" s="8" t="inlineStr">
        <is>
          <t>Perel VL</t>
        </is>
      </c>
      <c r="E477" s="8" t="inlineStr">
        <is>
          <t>серый, 50 кг</t>
        </is>
      </c>
      <c r="F477" s="8" t="inlineStr">
        <is>
          <t>masonry_colored</t>
        </is>
      </c>
      <c r="G477" s="8" t="inlineStr">
        <is>
          <t>yes</t>
        </is>
      </c>
      <c r="H477" s="8" t="inlineStr">
        <is>
          <t>Цветная смесь Perel VL 0210 для кладки облицовочного кирпича с высоким водопоглощением от 5 до 17% (кирпич ручной формовки и т.п.).</t>
        </is>
      </c>
      <c r="I477" s="8" t="inlineStr">
        <is>
          <t>фасовка 50 кг</t>
        </is>
      </c>
      <c r="J477" s="8" t="inlineStr"/>
      <c r="K477" s="8" t="inlineStr">
        <is>
          <t>В наличии</t>
        </is>
      </c>
      <c r="L477" s="8" t="inlineStr">
        <is>
          <t>https://td-perel.ru/catalog/perel-vl/seraya-kladochnaya-smes-perel-vl-50-kg/</t>
        </is>
      </c>
    </row>
    <row r="478">
      <c r="A478" s="8" t="inlineStr">
        <is>
          <t>Perel</t>
        </is>
      </c>
      <c r="B478" s="8" t="inlineStr">
        <is>
          <t>product</t>
        </is>
      </c>
      <c r="C478" s="8" t="inlineStr">
        <is>
          <t>Супер-белая кладочная смесь Perel VL 0201, 25 кг</t>
        </is>
      </c>
      <c r="D478" s="8" t="inlineStr">
        <is>
          <t>Perel VL</t>
        </is>
      </c>
      <c r="E478" s="8" t="inlineStr">
        <is>
          <t>супер-белый, 25 кг</t>
        </is>
      </c>
      <c r="F478" s="8" t="inlineStr">
        <is>
          <t>masonry_colored</t>
        </is>
      </c>
      <c r="G478" s="8" t="inlineStr">
        <is>
          <t>yes</t>
        </is>
      </c>
      <c r="H478" s="8" t="inlineStr">
        <is>
          <t>Цветная смесь Perel VL 0201 для кладки облицовочного кирпича с высоким водопоглощением от 5 до 17% (кирпич ручной формовки и т.п.).</t>
        </is>
      </c>
      <c r="I478" s="8" t="inlineStr">
        <is>
          <t>фасовка 25 кг</t>
        </is>
      </c>
      <c r="J478" s="8" t="inlineStr"/>
      <c r="K478" s="8" t="inlineStr">
        <is>
          <t>В наличии</t>
        </is>
      </c>
      <c r="L478" s="8" t="inlineStr">
        <is>
          <t>https://td-perel.ru/catalog/perel-vl/super-belaya-kladochnaya-smes-perel-vl-25-kg/</t>
        </is>
      </c>
    </row>
    <row r="479">
      <c r="A479" s="8" t="inlineStr">
        <is>
          <t>Perel</t>
        </is>
      </c>
      <c r="B479" s="8" t="inlineStr">
        <is>
          <t>product</t>
        </is>
      </c>
      <c r="C479" s="8" t="inlineStr">
        <is>
          <t>Супер-белая кладочная смесь Perel VL 50 кг</t>
        </is>
      </c>
      <c r="D479" s="8" t="inlineStr">
        <is>
          <t>Perel VL</t>
        </is>
      </c>
      <c r="E479" s="8" t="inlineStr">
        <is>
          <t>супер-белый, 50 кг</t>
        </is>
      </c>
      <c r="F479" s="8" t="inlineStr">
        <is>
          <t>masonry_colored</t>
        </is>
      </c>
      <c r="G479" s="8" t="inlineStr">
        <is>
          <t>yes</t>
        </is>
      </c>
      <c r="H479" s="8" t="inlineStr">
        <is>
          <t>Цветная смесь Perel VL 0201 для кладки облицовочного кирпича с высоким водопоглощением от 5 до 17% (кирпич ручной формовки и т.п.).</t>
        </is>
      </c>
      <c r="I479" s="8" t="inlineStr">
        <is>
          <t>фасовка 50 кг</t>
        </is>
      </c>
      <c r="J479" s="8" t="inlineStr"/>
      <c r="K479" s="8" t="inlineStr">
        <is>
          <t>В наличии</t>
        </is>
      </c>
      <c r="L479" s="8" t="inlineStr">
        <is>
          <t>https://td-perel.ru/catalog/perel-vl/super-belaya-kladochnaya-smes-perel-vl-50-kg/</t>
        </is>
      </c>
    </row>
    <row r="480">
      <c r="A480" s="8" t="inlineStr">
        <is>
          <t>Perel</t>
        </is>
      </c>
      <c r="B480" s="8" t="inlineStr">
        <is>
          <t>product</t>
        </is>
      </c>
      <c r="C480" s="8" t="inlineStr">
        <is>
          <t>Темно-серая кладочная смесь Perel VL 25 кг</t>
        </is>
      </c>
      <c r="D480" s="8" t="inlineStr">
        <is>
          <t>Perel VL</t>
        </is>
      </c>
      <c r="E480" s="8" t="inlineStr">
        <is>
          <t>темно-серый, 25 кг</t>
        </is>
      </c>
      <c r="F480" s="8" t="inlineStr">
        <is>
          <t>masonry_colored</t>
        </is>
      </c>
      <c r="G480" s="8" t="inlineStr">
        <is>
          <t>yes</t>
        </is>
      </c>
      <c r="H480" s="8" t="inlineStr">
        <is>
          <t>Цветная смесь Perel VL 0215 для кладки облицовочного кирпича с высоким водопоглощением от 5 до 17% (кирпич ручной формовки и т.п.).</t>
        </is>
      </c>
      <c r="I480" s="8" t="inlineStr">
        <is>
          <t>фасовка 25 кг</t>
        </is>
      </c>
      <c r="J480" s="8" t="inlineStr"/>
      <c r="K480" s="8" t="inlineStr">
        <is>
          <t>В наличии</t>
        </is>
      </c>
      <c r="L480" s="8" t="inlineStr">
        <is>
          <t>https://td-perel.ru/catalog/perel-vl/temno-seraya-kladochnaya-smes-perel-vl-25-kg/</t>
        </is>
      </c>
    </row>
    <row r="481">
      <c r="A481" s="8" t="inlineStr">
        <is>
          <t>Perel</t>
        </is>
      </c>
      <c r="B481" s="8" t="inlineStr">
        <is>
          <t>product</t>
        </is>
      </c>
      <c r="C481" s="8" t="inlineStr">
        <is>
          <t>Темно-серая кладочная смесь Perel VL 50 кг</t>
        </is>
      </c>
      <c r="D481" s="8" t="inlineStr">
        <is>
          <t>Perel VL</t>
        </is>
      </c>
      <c r="E481" s="8" t="inlineStr">
        <is>
          <t>темно-серый, 50 кг</t>
        </is>
      </c>
      <c r="F481" s="8" t="inlineStr">
        <is>
          <t>masonry_colored</t>
        </is>
      </c>
      <c r="G481" s="8" t="inlineStr">
        <is>
          <t>yes</t>
        </is>
      </c>
      <c r="H481" s="8" t="inlineStr">
        <is>
          <t>Цветная смесь Perel VL 0215 для кладки облицовочного кирпича с высоким водопоглощением от 5 до 17% (кирпич ручной формовки и т.п.).</t>
        </is>
      </c>
      <c r="I481" s="8" t="inlineStr">
        <is>
          <t>фасовка 50 кг</t>
        </is>
      </c>
      <c r="J481" s="8" t="inlineStr"/>
      <c r="K481" s="8" t="inlineStr">
        <is>
          <t>В наличии</t>
        </is>
      </c>
      <c r="L481" s="8" t="inlineStr">
        <is>
          <t>https://td-perel.ru/catalog/perel-vl/temno-seraya-kladochnaya-smes-perel-vl-50-kg/</t>
        </is>
      </c>
    </row>
    <row r="482">
      <c r="A482" s="8" t="inlineStr">
        <is>
          <t>Perel</t>
        </is>
      </c>
      <c r="B482" s="8" t="inlineStr">
        <is>
          <t>product</t>
        </is>
      </c>
      <c r="C482" s="8" t="inlineStr">
        <is>
          <t>Черная кладочная смесь Perel VL 25 кг</t>
        </is>
      </c>
      <c r="D482" s="8" t="inlineStr">
        <is>
          <t>Perel VL</t>
        </is>
      </c>
      <c r="E482" s="8" t="inlineStr">
        <is>
          <t>черный, 25 кг</t>
        </is>
      </c>
      <c r="F482" s="8" t="inlineStr">
        <is>
          <t>masonry_colored</t>
        </is>
      </c>
      <c r="G482" s="8" t="inlineStr">
        <is>
          <t>yes</t>
        </is>
      </c>
      <c r="H482" s="8" t="inlineStr">
        <is>
          <t>Цветная смесь Perel VL 0265 для кладки облицовочного кирпича с высоким водопоглощением от 5 до 17% (кирпич ручной формовки и т.п.).</t>
        </is>
      </c>
      <c r="I482" s="8" t="inlineStr">
        <is>
          <t>фасовка 25 кг</t>
        </is>
      </c>
      <c r="J482" s="8" t="inlineStr"/>
      <c r="K482" s="8" t="inlineStr">
        <is>
          <t>В наличии</t>
        </is>
      </c>
      <c r="L482" s="8" t="inlineStr">
        <is>
          <t>https://td-perel.ru/catalog/perel-vl/chernaya-kladochnaya-smes-perel-vl-25-kg/</t>
        </is>
      </c>
    </row>
    <row r="483">
      <c r="A483" s="8" t="inlineStr">
        <is>
          <t>Perel</t>
        </is>
      </c>
      <c r="B483" s="8" t="inlineStr">
        <is>
          <t>product</t>
        </is>
      </c>
      <c r="C483" s="8" t="inlineStr">
        <is>
          <t>Черная кладочная смесь Perel VL 50 кг</t>
        </is>
      </c>
      <c r="D483" s="8" t="inlineStr">
        <is>
          <t>Perel VL</t>
        </is>
      </c>
      <c r="E483" s="8" t="inlineStr">
        <is>
          <t>черный, 50 кг</t>
        </is>
      </c>
      <c r="F483" s="8" t="inlineStr">
        <is>
          <t>masonry_colored</t>
        </is>
      </c>
      <c r="G483" s="8" t="inlineStr">
        <is>
          <t>yes</t>
        </is>
      </c>
      <c r="H483" s="8" t="inlineStr">
        <is>
          <t>Цветная смесь Perel VL 0265 для кладки облицовочного кирпича с высоким водопоглощением от 5 до 17% (кирпич ручной формовки и т.п.).</t>
        </is>
      </c>
      <c r="I483" s="8" t="inlineStr">
        <is>
          <t>фасовка 50 кг</t>
        </is>
      </c>
      <c r="J483" s="8" t="inlineStr"/>
      <c r="K483" s="8" t="inlineStr">
        <is>
          <t>В наличии</t>
        </is>
      </c>
      <c r="L483" s="8" t="inlineStr">
        <is>
          <t>https://td-perel.ru/catalog/perel-vl/chernaya-kladochnaya-smes-perel-vl-50-kg/</t>
        </is>
      </c>
    </row>
    <row r="484">
      <c r="A484" s="8" t="inlineStr">
        <is>
          <t>Perel</t>
        </is>
      </c>
      <c r="B484" s="8" t="inlineStr">
        <is>
          <t>product</t>
        </is>
      </c>
      <c r="C484" s="8" t="inlineStr">
        <is>
          <t>Шоколадная кладочная смесь Perel VL 25 кг</t>
        </is>
      </c>
      <c r="D484" s="8" t="inlineStr">
        <is>
          <t>Perel VL</t>
        </is>
      </c>
      <c r="E484" s="8" t="inlineStr">
        <is>
          <t>шоколадный, 25 кг</t>
        </is>
      </c>
      <c r="F484" s="8" t="inlineStr">
        <is>
          <t>masonry_colored</t>
        </is>
      </c>
      <c r="G484" s="8" t="inlineStr">
        <is>
          <t>yes</t>
        </is>
      </c>
      <c r="H484" s="8" t="inlineStr">
        <is>
          <t>Цветная смесь Perel VL 0255 для кладки облицовочного кирпича с высоким водопоглощением от 5 до 17% (кирпич ручной формовки и т.п.).</t>
        </is>
      </c>
      <c r="I484" s="8" t="inlineStr">
        <is>
          <t>фасовка 25 кг</t>
        </is>
      </c>
      <c r="J484" s="8" t="inlineStr"/>
      <c r="K484" s="8" t="inlineStr">
        <is>
          <t>В наличии</t>
        </is>
      </c>
      <c r="L484" s="8" t="inlineStr">
        <is>
          <t>https://td-perel.ru/catalog/perel-vl/shokoladnaya-kladochnaya-smes-perel-vl-25-kg/</t>
        </is>
      </c>
    </row>
    <row r="485">
      <c r="A485" s="8" t="inlineStr">
        <is>
          <t>Perel</t>
        </is>
      </c>
      <c r="B485" s="8" t="inlineStr">
        <is>
          <t>product</t>
        </is>
      </c>
      <c r="C485" s="8" t="inlineStr">
        <is>
          <t>Шоколадная кладочная смесь Perel VL 50 кг</t>
        </is>
      </c>
      <c r="D485" s="8" t="inlineStr">
        <is>
          <t>Perel VL</t>
        </is>
      </c>
      <c r="E485" s="8" t="inlineStr">
        <is>
          <t>шоколадный, 50 кг</t>
        </is>
      </c>
      <c r="F485" s="8" t="inlineStr">
        <is>
          <t>masonry_colored</t>
        </is>
      </c>
      <c r="G485" s="8" t="inlineStr">
        <is>
          <t>yes</t>
        </is>
      </c>
      <c r="H485" s="8" t="inlineStr">
        <is>
          <t>Цветная смесь Perel VL 0255 для кладки облицовочного кирпича с высоким водопоглощением от 5 до 17% (кирпич ручной формовки и т.п.).</t>
        </is>
      </c>
      <c r="I485" s="8" t="inlineStr">
        <is>
          <t>фасовка 50 кг</t>
        </is>
      </c>
      <c r="J485" s="8" t="inlineStr"/>
      <c r="K485" s="8" t="inlineStr">
        <is>
          <t>В наличии</t>
        </is>
      </c>
      <c r="L485" s="8" t="inlineStr">
        <is>
          <t>https://td-perel.ru/catalog/perel-vl/shokoladnaya-kladochnaya-smes-perel-vl-50-kg/</t>
        </is>
      </c>
    </row>
    <row r="486">
      <c r="A486" s="8" t="inlineStr">
        <is>
          <t>Perel</t>
        </is>
      </c>
      <c r="B486" s="8" t="inlineStr">
        <is>
          <t>product</t>
        </is>
      </c>
      <c r="C486" s="8" t="inlineStr">
        <is>
          <t>Perel Vernice, 14 кг, влагостойкая интерьерная краска</t>
        </is>
      </c>
      <c r="D486" s="8" t="inlineStr">
        <is>
          <t>Perel Vernice</t>
        </is>
      </c>
      <c r="E486" s="8" t="inlineStr">
        <is>
          <t>кипельно белая, 14 кг</t>
        </is>
      </c>
      <c r="F486" s="8" t="inlineStr">
        <is>
          <t>paint</t>
        </is>
      </c>
      <c r="G486" s="8" t="inlineStr">
        <is>
          <t>no</t>
        </is>
      </c>
      <c r="H486" s="8" t="inlineStr">
        <is>
          <t>Применяется для окрашивания стен и потолков из бетона, кирпича, ГКЛ, ПГП и пр.оштукатуренные поверхности в жилых и нежилых помещениях с нормальной эксплуатационной нагрузкой.</t>
        </is>
      </c>
      <c r="I486" s="8" t="inlineStr">
        <is>
          <t>14 кг</t>
        </is>
      </c>
      <c r="J486" s="8" t="inlineStr"/>
      <c r="K486" s="8" t="inlineStr">
        <is>
          <t>В наличии</t>
        </is>
      </c>
      <c r="L486" s="8" t="inlineStr">
        <is>
          <t>https://td-perel.ru/catalog/kraski/perel-vernice/</t>
        </is>
      </c>
    </row>
    <row r="487">
      <c r="A487" s="8" t="inlineStr">
        <is>
          <t>Perel</t>
        </is>
      </c>
      <c r="B487" s="8" t="inlineStr">
        <is>
          <t>product</t>
        </is>
      </c>
      <c r="C487" s="8" t="inlineStr">
        <is>
          <t>Perel White C1TE, 25 кг, белая клеевая смесь</t>
        </is>
      </c>
      <c r="D487" s="8" t="inlineStr">
        <is>
          <t>Perel White C1TE</t>
        </is>
      </c>
      <c r="E487" s="8" t="inlineStr">
        <is>
          <t>белая, 25 кг</t>
        </is>
      </c>
      <c r="F487" s="8" t="inlineStr">
        <is>
          <t>tile_adhesive</t>
        </is>
      </c>
      <c r="G487" s="8" t="inlineStr">
        <is>
          <t>yes</t>
        </is>
      </c>
      <c r="H487" s="8" t="inlineStr">
        <is>
          <t>Клеевая смесь «White» на основе супер-белого цемента, отмытых кварцевых песков и европейских полимерных добавок для укладки всех видов керамической плитки, мрамора, натурального или искусственного камня по любым недеформируемым поверхностям в сухих и влажных помещениях, жилых, общественных, производственных и иных зданиях.</t>
        </is>
      </c>
      <c r="I487" s="8" t="inlineStr">
        <is>
          <t>Бумажные крафт-мешки 25 кг.</t>
        </is>
      </c>
      <c r="J487" s="8" t="inlineStr">
        <is>
          <t>3,5-4,0 кг смеси на м2 при использовании зубчатого шпателя 6×6 мм.</t>
        </is>
      </c>
      <c r="K487" s="8" t="inlineStr">
        <is>
          <t>В наличии</t>
        </is>
      </c>
      <c r="L487" s="8" t="inlineStr">
        <is>
          <t>https://td-perel.ru/catalog/klei-dlya-plitki-i-kamnya/kleevaya-smes-perel-white-c1te-25-kg/</t>
        </is>
      </c>
    </row>
    <row r="488">
      <c r="A488" s="8" t="inlineStr">
        <is>
          <t>Perel</t>
        </is>
      </c>
      <c r="B488" s="8" t="inlineStr">
        <is>
          <t>product</t>
        </is>
      </c>
      <c r="C488" s="8" t="inlineStr">
        <is>
          <t>М-150 Базовый, 50 кг</t>
        </is>
      </c>
      <c r="D488" s="8" t="inlineStr">
        <is>
          <t>Perel М-150 Базовый</t>
        </is>
      </c>
      <c r="E488" s="8" t="inlineStr">
        <is>
          <t>50 кг</t>
        </is>
      </c>
      <c r="F488" s="8" t="inlineStr">
        <is>
          <t>masonry_universal_cps</t>
        </is>
      </c>
      <c r="G488" s="8" t="inlineStr">
        <is>
          <t>yes</t>
        </is>
      </c>
      <c r="H488" s="8" t="inlineStr">
        <is>
          <t>Цементно-песчаная смесь с пластифицирующими добавками. Рекомендуется для выполнения кладочных работ рядовым кирпичом.</t>
        </is>
      </c>
      <c r="I488" s="8" t="inlineStr">
        <is>
          <t>Бумажные крафт-мешки по 50 кг.</t>
        </is>
      </c>
      <c r="J488" s="8" t="inlineStr"/>
      <c r="K488" s="8" t="inlineStr">
        <is>
          <t>В наличии</t>
        </is>
      </c>
      <c r="L488" s="8" t="inlineStr">
        <is>
          <t>https://td-perel.ru/catalog/universalnye-smesi/m-150-bazovyy/</t>
        </is>
      </c>
    </row>
    <row r="489">
      <c r="A489" s="8" t="inlineStr">
        <is>
          <t>Perel</t>
        </is>
      </c>
      <c r="B489" s="8" t="inlineStr">
        <is>
          <t>product</t>
        </is>
      </c>
      <c r="C489" s="8" t="inlineStr">
        <is>
          <t>М-150 Универсальный, 40 кг</t>
        </is>
      </c>
      <c r="D489" s="8" t="inlineStr">
        <is>
          <t>Perel М-150 Универсальный</t>
        </is>
      </c>
      <c r="E489" s="8" t="inlineStr">
        <is>
          <t>40 кг</t>
        </is>
      </c>
      <c r="F489" s="8" t="inlineStr">
        <is>
          <t>masonry_universal_cps</t>
        </is>
      </c>
      <c r="G489" s="8" t="inlineStr">
        <is>
          <t>yes</t>
        </is>
      </c>
      <c r="H489" s="8" t="inlineStr">
        <is>
          <t>Применяется для штукатурно-кладочных работ.</t>
        </is>
      </c>
      <c r="I489" s="8" t="inlineStr">
        <is>
          <t>Бумажные крафт-мешки по 40 кг.</t>
        </is>
      </c>
      <c r="J489" s="8" t="inlineStr"/>
      <c r="K489" s="8" t="inlineStr">
        <is>
          <t>В наличии</t>
        </is>
      </c>
      <c r="L489" s="8" t="inlineStr">
        <is>
          <t>https://td-perel.ru/catalog/universalnye-smesi/m-150-universalnyy/</t>
        </is>
      </c>
    </row>
    <row r="490">
      <c r="A490" s="8" t="inlineStr">
        <is>
          <t>Perel</t>
        </is>
      </c>
      <c r="B490" s="8" t="inlineStr">
        <is>
          <t>product</t>
        </is>
      </c>
      <c r="C490" s="8" t="inlineStr">
        <is>
          <t>М-300, 50 кг</t>
        </is>
      </c>
      <c r="D490" s="8" t="inlineStr">
        <is>
          <t>Perel М-300 Пескобетон</t>
        </is>
      </c>
      <c r="E490" s="8" t="inlineStr">
        <is>
          <t>50 кг</t>
        </is>
      </c>
      <c r="F490" s="8" t="inlineStr">
        <is>
          <t>masonry_universal_cps</t>
        </is>
      </c>
      <c r="G490" s="8" t="inlineStr">
        <is>
          <t>yes</t>
        </is>
      </c>
      <c r="H490" s="8" t="inlineStr">
        <is>
          <t>Сухая строительная смесь Пескобетон М 300 применяется как мелкозернистый бетон для заливки фундаментов, изготовления высокопрочных бетонных стяжек различной толщины, в качестве несущего слоя полов, при обустройстве жилых, общественных и производственных помещений, гаражей, зон повышенного потока людей, при монтажно-кладочных работах, для возведения и ремонта бетонных стен и оснований.</t>
        </is>
      </c>
      <c r="I490" s="8" t="inlineStr">
        <is>
          <t>Бумажные крафт-мешки по 50 кг.</t>
        </is>
      </c>
      <c r="J490" s="8" t="inlineStr"/>
      <c r="K490" s="8" t="inlineStr">
        <is>
          <t>В наличии</t>
        </is>
      </c>
      <c r="L490" s="8" t="inlineStr">
        <is>
          <t>https://td-perel.ru/catalog/universalnye-smesi/m-300/</t>
        </is>
      </c>
    </row>
  </sheetData>
  <autoFilter ref="A1:L4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9" t="inlineStr">
        <is>
          <t>Как собрано</t>
        </is>
      </c>
    </row>
    <row r="2">
      <c r="A2" s="8" t="inlineStr">
        <is>
          <t>09.10.2026 обойдены все страницы раздела /catalog/ трёх сайтов: td-perel.ru (249 страниц), dauer.ru (79, из них 25 старых адресов отдают 404), osnovit.ru (640; к нему добавлена карта сайта).</t>
        </is>
      </c>
    </row>
    <row r="3">
      <c r="A3" s="8" t="inlineStr">
        <is>
          <t>Карточек товара: Perel 197, Dauer 45, Основит 247 (у Основита один товар лежит в нескольких разделах — склеено по canonical). Из них страниц-подборок без своего товара: Perel 7, Основит 13.</t>
        </is>
      </c>
    </row>
    <row r="4">
      <c r="A4" s="8" t="inlineStr">
        <is>
          <t>Каждая карточка разобрана в запись: назначение, фасовка, расход, толщина, норматив, до 14 характеристик — ДОСЛОВНО. Все 13 465 цитат программно сверены с текстом карточки: несовпадений 0.</t>
        </is>
      </c>
    </row>
    <row r="5">
      <c r="A5" s="8" t="inlineStr">
        <is>
          <t>«Товар» = продукт без цвета, фасовки и зимней модификации (Perel SL — один товар, 28 карточек: 14 цветов × 25/50 кг).</t>
        </is>
      </c>
    </row>
    <row r="6">
      <c r="A6" s="8" t="inlineStr">
        <is>
          <t>Три карточки Основита (Флайвэлл PC24/1 ML, Стартвэлл PC21, PC21 M) не учтены: судя по разделу «Штукатурка», это старые названия серии «Техно».</t>
        </is>
      </c>
    </row>
    <row r="7">
      <c r="A7" s="8" t="inlineStr">
        <is>
          <t>Цены: у Perel на сайте показаны, у Dauer и Основита нет. На наш сайт цены производителей не ставим.</t>
        </is>
      </c>
    </row>
    <row r="8">
      <c r="A8" s="8" t="inlineStr">
        <is>
          <t>Внутренние противоречия у производителей (расход в тексте и в характеристиках разный, «мешки по 25 кг» на карточке 50 кг и т.п.) — в столбце «Примечание разбора» листа «Товары»; спорные цифры на сайт без уточнения не выводим.</t>
        </is>
      </c>
    </row>
    <row r="9">
      <c r="A9" s="8" t="inlineStr">
        <is>
          <t>Не собраны: ссылки на техкарты Основита (на страницах названы, адреса не вытащились обходом) — добрать при сборке.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2026-10-09T16:13:39Z</dcterms:created>
  <dcterms:modified xmlns:dcterms="http://purl.org/dc/terms/" xmlns:xsi="http://www.w3.org/2001/XMLSchema-instance" xsi:type="dcterms:W3CDTF">2026-10-09T16:13:39Z</dcterms:modified>
</cp:coreProperties>
</file>